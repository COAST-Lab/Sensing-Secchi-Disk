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https://uncw4-my.sharepoint.com/personal/dem5075_uncw_edu/Documents/SSD/Sensing-Secchi-Disk-COAST/"/>
    </mc:Choice>
  </mc:AlternateContent>
  <xr:revisionPtr revIDLastSave="0" documentId="11_999391A5AD529552117740F28E092174E9AB489A" xr6:coauthVersionLast="47" xr6:coauthVersionMax="47" xr10:uidLastSave="{00000000-0000-0000-0000-000000000000}"/>
  <bookViews>
    <workbookView xWindow="30240" yWindow="620" windowWidth="38400" windowHeight="20980" xr2:uid="{00000000-000D-0000-FFFF-FFFF00000000}"/>
  </bookViews>
  <sheets>
    <sheet name="Kd" sheetId="1" r:id="rId1"/>
    <sheet name="MLR" sheetId="2" r:id="rId2"/>
    <sheet name="C 2" sheetId="3" r:id="rId3"/>
    <sheet name="C 2+3" sheetId="4" r:id="rId4"/>
    <sheet name="C 2,3,6,7" sheetId="5" r:id="rId5"/>
    <sheet name="C RIVER" sheetId="6" r:id="rId6"/>
    <sheet name="C ES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3" i="1" l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S29" i="1"/>
  <c r="R29" i="1"/>
  <c r="Q29" i="1"/>
  <c r="S28" i="1"/>
  <c r="R28" i="1"/>
  <c r="Q28" i="1"/>
  <c r="S27" i="1"/>
  <c r="R27" i="1"/>
  <c r="Q27" i="1"/>
  <c r="S26" i="1"/>
  <c r="R26" i="1"/>
  <c r="Q26" i="1"/>
  <c r="S25" i="1"/>
  <c r="R25" i="1"/>
  <c r="Q25" i="1"/>
  <c r="S24" i="1"/>
  <c r="R24" i="1"/>
  <c r="Q24" i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S18" i="1"/>
  <c r="R18" i="1"/>
  <c r="Q18" i="1"/>
  <c r="S17" i="1"/>
  <c r="R17" i="1"/>
  <c r="Q17" i="1"/>
  <c r="S16" i="1"/>
  <c r="R16" i="1"/>
  <c r="Q16" i="1"/>
  <c r="S15" i="1"/>
  <c r="R15" i="1"/>
  <c r="Q15" i="1"/>
  <c r="S14" i="1"/>
  <c r="R14" i="1"/>
  <c r="Q14" i="1"/>
  <c r="S13" i="1"/>
  <c r="R13" i="1"/>
  <c r="Q13" i="1"/>
  <c r="S12" i="1"/>
  <c r="R12" i="1"/>
  <c r="Q12" i="1"/>
  <c r="S11" i="1"/>
  <c r="R11" i="1"/>
  <c r="Q11" i="1"/>
  <c r="S10" i="1"/>
  <c r="R10" i="1"/>
  <c r="Q10" i="1"/>
  <c r="S9" i="1"/>
  <c r="R9" i="1"/>
  <c r="Q9" i="1"/>
  <c r="S8" i="1"/>
  <c r="R8" i="1"/>
  <c r="Q8" i="1"/>
  <c r="S7" i="1"/>
  <c r="R7" i="1"/>
  <c r="Q7" i="1"/>
  <c r="S6" i="1"/>
  <c r="R6" i="1"/>
  <c r="Q6" i="1"/>
  <c r="S5" i="1"/>
  <c r="R5" i="1"/>
  <c r="Q5" i="1"/>
  <c r="S4" i="1"/>
  <c r="R4" i="1"/>
  <c r="Q4" i="1"/>
  <c r="S3" i="1"/>
  <c r="R3" i="1"/>
  <c r="Q3" i="1"/>
  <c r="S2" i="1"/>
  <c r="R2" i="1"/>
  <c r="Q2" i="1"/>
</calcChain>
</file>

<file path=xl/sharedStrings.xml><?xml version="1.0" encoding="utf-8"?>
<sst xmlns="http://schemas.openxmlformats.org/spreadsheetml/2006/main" count="638" uniqueCount="189">
  <si>
    <t>Cruise_#</t>
  </si>
  <si>
    <t>Date</t>
  </si>
  <si>
    <t>Station</t>
  </si>
  <si>
    <t>SSD_ID</t>
  </si>
  <si>
    <t>Filename</t>
  </si>
  <si>
    <t>415nm</t>
  </si>
  <si>
    <t>445nm</t>
  </si>
  <si>
    <t>480nm</t>
  </si>
  <si>
    <t>515nm</t>
  </si>
  <si>
    <t>555nm</t>
  </si>
  <si>
    <t>590nm</t>
  </si>
  <si>
    <t>630nm</t>
  </si>
  <si>
    <t>680nm</t>
  </si>
  <si>
    <t>µg Chl a/L, direct</t>
  </si>
  <si>
    <t>EXO2s</t>
  </si>
  <si>
    <t>DE</t>
  </si>
  <si>
    <t>Xing 412</t>
  </si>
  <si>
    <t>Xing 490</t>
  </si>
  <si>
    <t>Xing 555</t>
  </si>
  <si>
    <t>NC11</t>
  </si>
  <si>
    <t>A016</t>
  </si>
  <si>
    <t>260527-01(NC11)-A016.txt</t>
  </si>
  <si>
    <t>ACME</t>
  </si>
  <si>
    <t>260527-02(ACME)-A016.txt</t>
  </si>
  <si>
    <t>DP</t>
  </si>
  <si>
    <t>260527-03(DP)-A016.txt</t>
  </si>
  <si>
    <t>BBT</t>
  </si>
  <si>
    <t>260527-04(BBT)-A016.txt</t>
  </si>
  <si>
    <t>IC-1</t>
  </si>
  <si>
    <t>260527-05(IC-1)-A016.txt</t>
  </si>
  <si>
    <t>IC-2</t>
  </si>
  <si>
    <t>260527-05(IC-2)-A016.txt</t>
  </si>
  <si>
    <t>NAV</t>
  </si>
  <si>
    <t>260527-06(NAV)-A016.txt</t>
  </si>
  <si>
    <t>HB</t>
  </si>
  <si>
    <t>260527-07(HB)-A016.txt</t>
  </si>
  <si>
    <t>NCF6</t>
  </si>
  <si>
    <t>260527-08(NCF6)-A016.txt</t>
  </si>
  <si>
    <t>260603-01(NCF6)-A016.txt</t>
  </si>
  <si>
    <t>260603-02(NC11)-A016.txt</t>
  </si>
  <si>
    <t>260603-03(ACME)-A016.txt</t>
  </si>
  <si>
    <t>260603-04(DP)-A016.txt</t>
  </si>
  <si>
    <t>260603-05(BBT)-A016.txt</t>
  </si>
  <si>
    <t>IC</t>
  </si>
  <si>
    <t>260603-06(IC)-A016.txt</t>
  </si>
  <si>
    <t>M18</t>
  </si>
  <si>
    <t>260610-01(M18)-A016.txt</t>
  </si>
  <si>
    <t>M23</t>
  </si>
  <si>
    <t>260610-02(M23)-A016.txt</t>
  </si>
  <si>
    <t>M35</t>
  </si>
  <si>
    <t>260610-03(M35)-A016.txt</t>
  </si>
  <si>
    <t>M54</t>
  </si>
  <si>
    <t>260610-04(M54)-A016.txt</t>
  </si>
  <si>
    <t>BRR</t>
  </si>
  <si>
    <t>260610-05(BRR)-A016.txt</t>
  </si>
  <si>
    <t>260610-06(NAV)-A016.txt</t>
  </si>
  <si>
    <t>260610-07(HB)-A016.txt</t>
  </si>
  <si>
    <t>NC11-1</t>
  </si>
  <si>
    <t>260618-01(NC11-1)-A016.txt</t>
  </si>
  <si>
    <t>NC11-2</t>
  </si>
  <si>
    <t>A017</t>
  </si>
  <si>
    <t>260618-01(NC11-2)-A017.txt</t>
  </si>
  <si>
    <t>ACME-1</t>
  </si>
  <si>
    <t>260618-02(ACME-1)-A016.txt</t>
  </si>
  <si>
    <t>ACME-2</t>
  </si>
  <si>
    <t>260618-02(ACME-2)-A017.txt</t>
  </si>
  <si>
    <t>DP-1</t>
  </si>
  <si>
    <t>260618-03(DP-1)-A016.txt</t>
  </si>
  <si>
    <t>DP-2</t>
  </si>
  <si>
    <t>260618-03(DP-2)-A017.txt</t>
  </si>
  <si>
    <t>BBT-1</t>
  </si>
  <si>
    <t>260618-04(BBT-1)-A016.txt</t>
  </si>
  <si>
    <t>BBT-2</t>
  </si>
  <si>
    <t>260618-04(BBT-2)-A017.txt</t>
  </si>
  <si>
    <t>260618-05(IC-1)-A016.txt</t>
  </si>
  <si>
    <t>260618-05(IC-2)-A017.txt</t>
  </si>
  <si>
    <t>NCF6-1</t>
  </si>
  <si>
    <t>260618-06(NCF6-1)-A016.txt</t>
  </si>
  <si>
    <t>NCF6-2</t>
  </si>
  <si>
    <t>260618-06(NCF6-2)-A017.txt</t>
  </si>
  <si>
    <t>260625-01(M18)-A017.txt</t>
  </si>
  <si>
    <t>260625-02(M23)-A017.txt</t>
  </si>
  <si>
    <t>260625-03(M35)-A017.txt</t>
  </si>
  <si>
    <t>260625-04(M54)-A017.txt</t>
  </si>
  <si>
    <t>260625-05(BRR)-A017.txt</t>
  </si>
  <si>
    <t>M61</t>
  </si>
  <si>
    <t>260625-06(M61)-A017.txt</t>
  </si>
  <si>
    <t>260625-07(HB)-A017.txt</t>
  </si>
  <si>
    <t>260625-08(NAV)-A017.txt</t>
  </si>
  <si>
    <t>260702-01(M18)-A017.txt</t>
  </si>
  <si>
    <t>M23-1</t>
  </si>
  <si>
    <t>260702-02(M23-1)-A017.txt</t>
  </si>
  <si>
    <t>M23-2</t>
  </si>
  <si>
    <t>260702-02(M23-2)-A017.txt</t>
  </si>
  <si>
    <t>260702-03(M35)-A017.txt</t>
  </si>
  <si>
    <t>260702-04(M54)-A017.txt</t>
  </si>
  <si>
    <t>260702-05(BRR)-A017.txt</t>
  </si>
  <si>
    <t>260702-06(M61)-A017.txt</t>
  </si>
  <si>
    <t>260702-07(HB)-A017.txt</t>
  </si>
  <si>
    <t>260702-08(NAV)-A017.txt</t>
  </si>
  <si>
    <t>260709-01(NCF6)-A017.txt</t>
  </si>
  <si>
    <t>260709-02(NC11)-A017.txt</t>
  </si>
  <si>
    <t>260709-03(ACME)-A017.txt</t>
  </si>
  <si>
    <t>260709-04(DP)-A017.txt</t>
  </si>
  <si>
    <t>260709-05(BBT-1)-A017.txt</t>
  </si>
  <si>
    <t>260709-05(BBT-2)-A017.txt</t>
  </si>
  <si>
    <t>260709-06(IC)-A017.txt</t>
  </si>
  <si>
    <t>260716-01(M18)-A017.txt</t>
  </si>
  <si>
    <t>260716-02(M23)-A017.txt</t>
  </si>
  <si>
    <t>260716-03(M35)-A017.txt</t>
  </si>
  <si>
    <t>260716-04(M54)-A017.txt</t>
  </si>
  <si>
    <t>260716-05(BRR)-A017.txt</t>
  </si>
  <si>
    <t>260716-06(M61)-A017.txt</t>
  </si>
  <si>
    <t>260716-07(NCF6)-A017.txt</t>
  </si>
  <si>
    <t>260728-01(NC11)-A017.txt</t>
  </si>
  <si>
    <t>260728-02(ACME-1)-A017.txt</t>
  </si>
  <si>
    <t>260728-02(ACME-2)-A017.txt</t>
  </si>
  <si>
    <t>260728-03(DP)-A017.txt</t>
  </si>
  <si>
    <t>260728-04(BBT)-A017.txt</t>
  </si>
  <si>
    <t>260728-05(IC)-A017.txt</t>
  </si>
  <si>
    <t>NAV-1</t>
  </si>
  <si>
    <t>260728-06(NAV-1)-A017.txt</t>
  </si>
  <si>
    <t>NAV-2</t>
  </si>
  <si>
    <t>260728-06(NAV-2)-A017.txt</t>
  </si>
  <si>
    <t>260728-07(HB)-A017.txt</t>
  </si>
  <si>
    <t>260805-01(M18)-A017.txt</t>
  </si>
  <si>
    <t>260805-02(M23)-A017.txt</t>
  </si>
  <si>
    <t>260805-03(M35)-A017.txt</t>
  </si>
  <si>
    <t>260805-04(M54)-A017.txt</t>
  </si>
  <si>
    <t>260805-05(BRR)-A017.txt</t>
  </si>
  <si>
    <t>260805-06(NAV-1)-A017.txt</t>
  </si>
  <si>
    <t>260805-06(NAV-2)-A017.txt</t>
  </si>
  <si>
    <t>260805-07(HB)-A017.txt</t>
  </si>
  <si>
    <t>260805-08(M61)-A017.txt</t>
  </si>
  <si>
    <t>260811-01(NCF6)-A017.txt</t>
  </si>
  <si>
    <t>260811-02(NC11)-A017.txt</t>
  </si>
  <si>
    <t>260811-03(ACME)-A017.txt</t>
  </si>
  <si>
    <t>260811-05(BBT)-A016.txt</t>
  </si>
  <si>
    <t>260811-06(IC)-A016.txt</t>
  </si>
  <si>
    <t>260814-01(M18)-A016.txt</t>
  </si>
  <si>
    <t>260814-02(M23)-A016.txt</t>
  </si>
  <si>
    <t>260814-03(M35)-A016.txt</t>
  </si>
  <si>
    <t>260814-04(M54)-A016.txt</t>
  </si>
  <si>
    <t>260814-05(BRR)-A016.txt</t>
  </si>
  <si>
    <t>260814-06(M61)-A016.txt</t>
  </si>
  <si>
    <t>260814-07(NCF6)-A016.txt</t>
  </si>
  <si>
    <t>260828-01(HB)-A016.txt</t>
  </si>
  <si>
    <t>260828-02(NAV)-A016.txt</t>
  </si>
  <si>
    <t>260828-03(IC)-A016.txt</t>
  </si>
  <si>
    <t>260828-04(BBT)-A016.txt</t>
  </si>
  <si>
    <t>260828-05(DP)-A016.txt</t>
  </si>
  <si>
    <t>260828-06(ACME)-A016.txt</t>
  </si>
  <si>
    <t>260828-07(NC11)-A016.txt</t>
  </si>
  <si>
    <t>Notes</t>
  </si>
  <si>
    <t>680 - 0.944</t>
  </si>
  <si>
    <t>680 = 0.948</t>
  </si>
  <si>
    <t>415 = 0.949</t>
  </si>
  <si>
    <t>415 and 445: &lt; 0.95</t>
  </si>
  <si>
    <t>555 and 590 &lt; 0.95</t>
  </si>
  <si>
    <t>590: &lt; 0.95</t>
  </si>
  <si>
    <t>445 - 630 &lt; 0.95</t>
  </si>
  <si>
    <t>555, 590, and 630 &lt; 0.95</t>
  </si>
  <si>
    <t>All bands except 445 &lt; 0.95</t>
  </si>
  <si>
    <t>480 &lt; 0.95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</si>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</sst>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2" xfId="0" applyBorder="1"/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Continuous"/>
    </xf>
    <xf numFmtId="0" fontId="1" fillId="2" borderId="1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7"/>
  <sheetViews>
    <sheetView tabSelected="1" topLeftCell="A59" workbookViewId="0">
      <selection activeCell="N32" sqref="N32"/>
    </sheetView>
  </sheetViews>
  <sheetFormatPr baseColWidth="10" defaultColWidth="8.83203125" defaultRowHeight="15" x14ac:dyDescent="0.2"/>
  <cols>
    <col min="5" max="5" width="25.5" customWidth="1"/>
    <col min="14" max="14" width="16.6640625" customWidth="1"/>
    <col min="17" max="17" width="10.1640625" customWidth="1"/>
    <col min="18" max="18" width="10.33203125" customWidth="1"/>
    <col min="19" max="19" width="10.5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  <c r="U1" s="1"/>
      <c r="V1" s="1"/>
      <c r="W1" s="1"/>
      <c r="X1" s="1"/>
      <c r="Y1" s="2"/>
      <c r="Z1" s="2"/>
    </row>
    <row r="2" spans="1:26" x14ac:dyDescent="0.2">
      <c r="A2" s="2">
        <v>1</v>
      </c>
      <c r="B2" s="2">
        <v>260527</v>
      </c>
      <c r="C2" s="2" t="s">
        <v>19</v>
      </c>
      <c r="D2" s="2" t="s">
        <v>20</v>
      </c>
      <c r="E2" s="2" t="s">
        <v>21</v>
      </c>
      <c r="F2" s="2">
        <v>1.1192427630367729</v>
      </c>
      <c r="G2" s="2">
        <v>1.5368911576610209</v>
      </c>
      <c r="H2" s="2">
        <v>1.5195600040077279</v>
      </c>
      <c r="I2" s="2">
        <v>1.1860094903423271</v>
      </c>
      <c r="J2" s="2">
        <v>0.93294662701241471</v>
      </c>
      <c r="K2" s="2">
        <v>0.82681911407401154</v>
      </c>
      <c r="L2" s="2">
        <v>0.81638274463955685</v>
      </c>
      <c r="M2" s="2">
        <v>0.82637022056789788</v>
      </c>
      <c r="N2" s="2"/>
      <c r="O2" s="2"/>
      <c r="P2" s="2"/>
      <c r="Q2" s="2">
        <f t="shared" ref="Q2:Q33" si="0">((F2- 0.00793) / 0.1333)^(1/0.6199)</f>
        <v>30.600845703496294</v>
      </c>
      <c r="R2" s="2">
        <f t="shared" ref="R2:R33" si="1">((H2- 0.0166) / 0.0825)^(1/0.6529)</f>
        <v>85.232897429663495</v>
      </c>
      <c r="S2" s="2">
        <f t="shared" ref="S2:S33" si="2">((J2- 0.06053) / 0.0561)^(1/0.507)</f>
        <v>224.18861590647828</v>
      </c>
      <c r="T2" s="2"/>
      <c r="U2" s="2"/>
      <c r="V2" s="2"/>
      <c r="W2" s="2"/>
      <c r="X2" s="2"/>
      <c r="Y2" s="2"/>
      <c r="Z2" s="2"/>
    </row>
    <row r="3" spans="1:26" x14ac:dyDescent="0.2">
      <c r="A3" s="2">
        <v>1</v>
      </c>
      <c r="B3" s="2">
        <v>260527</v>
      </c>
      <c r="C3" s="2" t="s">
        <v>22</v>
      </c>
      <c r="D3" s="2" t="s">
        <v>20</v>
      </c>
      <c r="E3" s="2" t="s">
        <v>23</v>
      </c>
      <c r="F3" s="2">
        <v>2.6190137294271869</v>
      </c>
      <c r="G3" s="2">
        <v>3.1456525158514812</v>
      </c>
      <c r="H3" s="2">
        <v>3.091638481805127</v>
      </c>
      <c r="I3" s="2">
        <v>2.6475899198521788</v>
      </c>
      <c r="J3" s="2">
        <v>2.1817849645428948</v>
      </c>
      <c r="K3" s="2">
        <v>2.006507142139323</v>
      </c>
      <c r="L3" s="2">
        <v>1.9120401786845289</v>
      </c>
      <c r="M3" s="2">
        <v>1.8581099475574849</v>
      </c>
      <c r="N3" s="2"/>
      <c r="O3" s="2"/>
      <c r="P3" s="2"/>
      <c r="Q3" s="2">
        <f t="shared" si="0"/>
        <v>121.39255315292817</v>
      </c>
      <c r="R3" s="2">
        <f t="shared" si="1"/>
        <v>255.14979939980586</v>
      </c>
      <c r="S3" s="2">
        <f t="shared" si="2"/>
        <v>1293.2910530455013</v>
      </c>
      <c r="T3" s="2"/>
      <c r="U3" s="2"/>
      <c r="V3" s="2"/>
      <c r="W3" s="2"/>
      <c r="X3" s="2"/>
      <c r="Y3" s="2"/>
      <c r="Z3" s="2"/>
    </row>
    <row r="4" spans="1:26" x14ac:dyDescent="0.2">
      <c r="A4" s="2">
        <v>1</v>
      </c>
      <c r="B4" s="2">
        <v>260527</v>
      </c>
      <c r="C4" s="2" t="s">
        <v>24</v>
      </c>
      <c r="D4" s="2" t="s">
        <v>20</v>
      </c>
      <c r="E4" s="2" t="s">
        <v>25</v>
      </c>
      <c r="F4" s="2">
        <v>2.9486910609551349</v>
      </c>
      <c r="G4" s="2">
        <v>3.4323375400834499</v>
      </c>
      <c r="H4" s="2">
        <v>3.32925970660447</v>
      </c>
      <c r="I4" s="2">
        <v>2.8265280952886749</v>
      </c>
      <c r="J4" s="2">
        <v>2.360208671045593</v>
      </c>
      <c r="K4" s="2">
        <v>2.1460485482592788</v>
      </c>
      <c r="L4" s="2">
        <v>1.980876402943929</v>
      </c>
      <c r="M4" s="2">
        <v>1.9468571214429791</v>
      </c>
      <c r="N4" s="2"/>
      <c r="O4" s="2"/>
      <c r="P4" s="2"/>
      <c r="Q4" s="2">
        <f t="shared" si="0"/>
        <v>147.05984214352594</v>
      </c>
      <c r="R4" s="2">
        <f t="shared" si="1"/>
        <v>285.96116368018926</v>
      </c>
      <c r="S4" s="2">
        <f t="shared" si="2"/>
        <v>1516.618409871317</v>
      </c>
      <c r="T4" s="2"/>
      <c r="U4" s="2"/>
      <c r="V4" s="2"/>
      <c r="W4" s="2"/>
      <c r="X4" s="2"/>
      <c r="Y4" s="2"/>
      <c r="Z4" s="2"/>
    </row>
    <row r="5" spans="1:26" x14ac:dyDescent="0.2">
      <c r="A5" s="2">
        <v>1</v>
      </c>
      <c r="B5" s="2">
        <v>260527</v>
      </c>
      <c r="C5" s="2" t="s">
        <v>26</v>
      </c>
      <c r="D5" s="2" t="s">
        <v>20</v>
      </c>
      <c r="E5" s="2" t="s">
        <v>27</v>
      </c>
      <c r="F5" s="2">
        <v>3.121198636954932</v>
      </c>
      <c r="G5" s="2">
        <v>3.4655787867391021</v>
      </c>
      <c r="H5" s="2">
        <v>4.0055783802030396</v>
      </c>
      <c r="I5" s="2">
        <v>3.74646154947198</v>
      </c>
      <c r="J5" s="2">
        <v>3.2229964502648549</v>
      </c>
      <c r="K5" s="2">
        <v>2.973808891720946</v>
      </c>
      <c r="L5" s="2">
        <v>2.7200262221950351</v>
      </c>
      <c r="M5" s="2">
        <v>2.598542936877962</v>
      </c>
      <c r="N5" s="2"/>
      <c r="O5" s="2"/>
      <c r="P5" s="2"/>
      <c r="Q5" s="2">
        <f t="shared" si="0"/>
        <v>161.2244678173013</v>
      </c>
      <c r="R5" s="2">
        <f t="shared" si="1"/>
        <v>380.08983227701691</v>
      </c>
      <c r="S5" s="2">
        <f t="shared" si="2"/>
        <v>2842.9767302910341</v>
      </c>
      <c r="T5" s="2"/>
      <c r="U5" s="2"/>
      <c r="V5" s="2"/>
      <c r="W5" s="2"/>
      <c r="X5" s="2"/>
      <c r="Y5" s="2"/>
      <c r="Z5" s="2"/>
    </row>
    <row r="6" spans="1:26" x14ac:dyDescent="0.2">
      <c r="A6" s="2">
        <v>1</v>
      </c>
      <c r="B6" s="2">
        <v>260527</v>
      </c>
      <c r="C6" s="2" t="s">
        <v>28</v>
      </c>
      <c r="D6" s="2" t="s">
        <v>20</v>
      </c>
      <c r="E6" s="2" t="s">
        <v>29</v>
      </c>
      <c r="F6" s="2">
        <v>2.7406893733146571</v>
      </c>
      <c r="G6" s="2">
        <v>3.4076714414519098</v>
      </c>
      <c r="H6" s="2">
        <v>3.593477305149944</v>
      </c>
      <c r="I6" s="2">
        <v>3.0883076845893109</v>
      </c>
      <c r="J6" s="2">
        <v>2.520142746479511</v>
      </c>
      <c r="K6" s="2">
        <v>2.188298248849204</v>
      </c>
      <c r="L6" s="2">
        <v>1.954743737392542</v>
      </c>
      <c r="M6" s="2">
        <v>1.736545647143509</v>
      </c>
      <c r="N6" s="2"/>
      <c r="O6" s="2"/>
      <c r="P6" s="2"/>
      <c r="Q6" s="2">
        <f t="shared" si="0"/>
        <v>130.6475820082297</v>
      </c>
      <c r="R6" s="2">
        <f t="shared" si="1"/>
        <v>321.62660010225767</v>
      </c>
      <c r="S6" s="2">
        <f t="shared" si="2"/>
        <v>1731.6861322770012</v>
      </c>
      <c r="T6" s="2"/>
      <c r="U6" s="2"/>
      <c r="V6" s="2"/>
      <c r="W6" s="2"/>
      <c r="X6" s="2"/>
      <c r="Y6" s="2"/>
      <c r="Z6" s="2"/>
    </row>
    <row r="7" spans="1:26" x14ac:dyDescent="0.2">
      <c r="A7" s="2">
        <v>1</v>
      </c>
      <c r="B7" s="2">
        <v>260527</v>
      </c>
      <c r="C7" s="2" t="s">
        <v>30</v>
      </c>
      <c r="D7" s="2" t="s">
        <v>20</v>
      </c>
      <c r="E7" s="2" t="s">
        <v>31</v>
      </c>
      <c r="F7" s="2">
        <v>2.614451124502394</v>
      </c>
      <c r="G7" s="2">
        <v>3.1183637639178952</v>
      </c>
      <c r="H7" s="2">
        <v>3.2999496029208069</v>
      </c>
      <c r="I7" s="2">
        <v>2.9259233277489431</v>
      </c>
      <c r="J7" s="2">
        <v>2.299057956283507</v>
      </c>
      <c r="K7" s="2">
        <v>2.080621057090521</v>
      </c>
      <c r="L7" s="2">
        <v>1.8472558160065531</v>
      </c>
      <c r="M7" s="2">
        <v>1.714648515353701</v>
      </c>
      <c r="N7" s="2"/>
      <c r="O7" s="2"/>
      <c r="P7" s="2"/>
      <c r="Q7" s="2">
        <f t="shared" si="0"/>
        <v>121.05055032241995</v>
      </c>
      <c r="R7" s="2">
        <f t="shared" si="1"/>
        <v>282.09502989547093</v>
      </c>
      <c r="S7" s="2">
        <f t="shared" si="2"/>
        <v>1438.1038829794741</v>
      </c>
      <c r="T7" s="2"/>
      <c r="U7" s="2"/>
      <c r="V7" s="2"/>
      <c r="W7" s="2"/>
      <c r="X7" s="2"/>
      <c r="Y7" s="2"/>
      <c r="Z7" s="2"/>
    </row>
    <row r="8" spans="1:26" x14ac:dyDescent="0.2">
      <c r="A8" s="2">
        <v>1</v>
      </c>
      <c r="B8" s="2">
        <v>260527</v>
      </c>
      <c r="C8" s="2" t="s">
        <v>32</v>
      </c>
      <c r="D8" s="2" t="s">
        <v>20</v>
      </c>
      <c r="E8" s="2" t="s">
        <v>33</v>
      </c>
      <c r="F8" s="2">
        <v>4.5178445940263856</v>
      </c>
      <c r="G8" s="2">
        <v>5.3830427990233174</v>
      </c>
      <c r="H8" s="2">
        <v>5.5197804126901264</v>
      </c>
      <c r="I8" s="2">
        <v>4.9216443054332251</v>
      </c>
      <c r="J8" s="2">
        <v>4.1589218849040543</v>
      </c>
      <c r="K8" s="2">
        <v>3.7765974577239732</v>
      </c>
      <c r="L8" s="2">
        <v>3.4641444053207429</v>
      </c>
      <c r="M8" s="2">
        <v>3.258055235653107</v>
      </c>
      <c r="N8" s="2"/>
      <c r="O8" s="2"/>
      <c r="P8" s="2"/>
      <c r="Q8" s="2">
        <f t="shared" si="0"/>
        <v>293.13817494761258</v>
      </c>
      <c r="R8" s="2">
        <f t="shared" si="1"/>
        <v>622.20636508458517</v>
      </c>
      <c r="S8" s="2">
        <f t="shared" si="2"/>
        <v>4740.6674406939428</v>
      </c>
      <c r="T8" s="2"/>
      <c r="U8" s="2"/>
      <c r="V8" s="2"/>
      <c r="W8" s="2"/>
      <c r="X8" s="2"/>
      <c r="Y8" s="2"/>
      <c r="Z8" s="2"/>
    </row>
    <row r="9" spans="1:26" x14ac:dyDescent="0.2">
      <c r="A9" s="2">
        <v>1</v>
      </c>
      <c r="B9" s="2">
        <v>260527</v>
      </c>
      <c r="C9" s="2" t="s">
        <v>34</v>
      </c>
      <c r="D9" s="2" t="s">
        <v>20</v>
      </c>
      <c r="E9" s="2" t="s">
        <v>35</v>
      </c>
      <c r="F9" s="2">
        <v>2.9537215152452032</v>
      </c>
      <c r="G9" s="2">
        <v>3.4428960643970701</v>
      </c>
      <c r="H9" s="2">
        <v>3.380531929610219</v>
      </c>
      <c r="I9" s="2">
        <v>2.8890649595340032</v>
      </c>
      <c r="J9" s="2">
        <v>1.998827694533998</v>
      </c>
      <c r="K9" s="2">
        <v>1.80016968434233</v>
      </c>
      <c r="L9" s="2">
        <v>1.468035105192647</v>
      </c>
      <c r="M9" s="2">
        <v>1.3686280584191211</v>
      </c>
      <c r="N9" s="2"/>
      <c r="O9" s="2"/>
      <c r="P9" s="2"/>
      <c r="Q9" s="2">
        <f t="shared" si="0"/>
        <v>147.46586228426301</v>
      </c>
      <c r="R9" s="2">
        <f t="shared" si="1"/>
        <v>292.76798787412093</v>
      </c>
      <c r="S9" s="2">
        <f t="shared" si="2"/>
        <v>1082.5131269797473</v>
      </c>
      <c r="T9" s="2"/>
      <c r="U9" s="2"/>
      <c r="V9" s="2"/>
      <c r="W9" s="2"/>
      <c r="X9" s="2"/>
      <c r="Y9" s="2"/>
      <c r="Z9" s="2"/>
    </row>
    <row r="10" spans="1:26" x14ac:dyDescent="0.2">
      <c r="A10" s="2">
        <v>1</v>
      </c>
      <c r="B10" s="2">
        <v>260527</v>
      </c>
      <c r="C10" s="2" t="s">
        <v>36</v>
      </c>
      <c r="D10" s="2" t="s">
        <v>20</v>
      </c>
      <c r="E10" s="2" t="s">
        <v>37</v>
      </c>
      <c r="F10" s="2">
        <v>3.9695034799103488</v>
      </c>
      <c r="G10" s="2">
        <v>4.56083031692632</v>
      </c>
      <c r="H10" s="2">
        <v>5.0578006780784763</v>
      </c>
      <c r="I10" s="2">
        <v>4.4045502333816353</v>
      </c>
      <c r="J10" s="2">
        <v>3.6954585239182109</v>
      </c>
      <c r="K10" s="2">
        <v>3.1897693872111148</v>
      </c>
      <c r="L10" s="2">
        <v>2.678902807589489</v>
      </c>
      <c r="M10" s="2">
        <v>2.5383341461404338</v>
      </c>
      <c r="N10" s="2"/>
      <c r="O10" s="2"/>
      <c r="P10" s="2"/>
      <c r="Q10" s="2">
        <f t="shared" si="0"/>
        <v>237.82105895478963</v>
      </c>
      <c r="R10" s="2">
        <f t="shared" si="1"/>
        <v>544.0144195304257</v>
      </c>
      <c r="S10" s="2">
        <f t="shared" si="2"/>
        <v>3741.4799349322025</v>
      </c>
      <c r="T10" s="2"/>
      <c r="U10" s="2"/>
      <c r="V10" s="2"/>
      <c r="W10" s="2"/>
      <c r="X10" s="2"/>
      <c r="Y10" s="2"/>
      <c r="Z10" s="2"/>
    </row>
    <row r="11" spans="1:26" x14ac:dyDescent="0.2">
      <c r="A11" s="2">
        <v>2</v>
      </c>
      <c r="B11" s="2">
        <v>260603</v>
      </c>
      <c r="C11" s="2" t="s">
        <v>36</v>
      </c>
      <c r="D11" s="2" t="s">
        <v>20</v>
      </c>
      <c r="E11" s="2" t="s">
        <v>38</v>
      </c>
      <c r="F11" s="2">
        <v>1.8685567693401091</v>
      </c>
      <c r="G11" s="2">
        <v>1.9407772683992239</v>
      </c>
      <c r="H11" s="2">
        <v>2.2780552265134428</v>
      </c>
      <c r="I11" s="2">
        <v>2.4563761009699641</v>
      </c>
      <c r="J11" s="2">
        <v>2.1131082421262448</v>
      </c>
      <c r="K11" s="2">
        <v>1.780104056103029</v>
      </c>
      <c r="L11" s="2">
        <v>1.619070904765296</v>
      </c>
      <c r="M11" s="2">
        <v>1.5032572700775331</v>
      </c>
      <c r="N11" s="2">
        <v>11.7</v>
      </c>
      <c r="O11" s="2"/>
      <c r="P11" s="2"/>
      <c r="Q11" s="2">
        <f t="shared" si="0"/>
        <v>70.274286339264762</v>
      </c>
      <c r="R11" s="2">
        <f t="shared" si="1"/>
        <v>159.36032961820294</v>
      </c>
      <c r="S11" s="2">
        <f t="shared" si="2"/>
        <v>1212.0056775110929</v>
      </c>
      <c r="T11" s="2"/>
      <c r="U11" s="2"/>
      <c r="V11" s="2"/>
      <c r="W11" s="2"/>
      <c r="X11" s="2"/>
      <c r="Y11" s="2"/>
      <c r="Z11" s="2"/>
    </row>
    <row r="12" spans="1:26" x14ac:dyDescent="0.2">
      <c r="A12" s="2">
        <v>2</v>
      </c>
      <c r="B12" s="2">
        <v>260603</v>
      </c>
      <c r="C12" s="2" t="s">
        <v>19</v>
      </c>
      <c r="D12" s="2" t="s">
        <v>20</v>
      </c>
      <c r="E12" s="2" t="s">
        <v>39</v>
      </c>
      <c r="F12" s="2">
        <v>1.379722043297088</v>
      </c>
      <c r="G12" s="2">
        <v>1.613894632999626</v>
      </c>
      <c r="H12" s="2">
        <v>1.8767968098524399</v>
      </c>
      <c r="I12" s="2">
        <v>1.717010027730383</v>
      </c>
      <c r="J12" s="2">
        <v>1.398922768786139</v>
      </c>
      <c r="K12" s="2">
        <v>1.2754140503162339</v>
      </c>
      <c r="L12" s="2">
        <v>1.262101717463171</v>
      </c>
      <c r="M12" s="2">
        <v>1.2870994019859749</v>
      </c>
      <c r="N12" s="2">
        <v>4.2</v>
      </c>
      <c r="O12" s="2"/>
      <c r="P12" s="2"/>
      <c r="Q12" s="2">
        <f t="shared" si="0"/>
        <v>42.979406410591416</v>
      </c>
      <c r="R12" s="2">
        <f t="shared" si="1"/>
        <v>118.15540321870878</v>
      </c>
      <c r="S12" s="2">
        <f t="shared" si="2"/>
        <v>521.43554381508227</v>
      </c>
      <c r="T12" s="2"/>
      <c r="U12" s="2"/>
      <c r="V12" s="2"/>
      <c r="W12" s="2"/>
      <c r="X12" s="2"/>
      <c r="Y12" s="2"/>
      <c r="Z12" s="2"/>
    </row>
    <row r="13" spans="1:26" x14ac:dyDescent="0.2">
      <c r="A13" s="2">
        <v>2</v>
      </c>
      <c r="B13" s="2">
        <v>260603</v>
      </c>
      <c r="C13" s="2" t="s">
        <v>22</v>
      </c>
      <c r="D13" s="2" t="s">
        <v>20</v>
      </c>
      <c r="E13" s="2" t="s">
        <v>40</v>
      </c>
      <c r="F13" s="2">
        <v>1.5353919658861841</v>
      </c>
      <c r="G13" s="2">
        <v>1.697302489891575</v>
      </c>
      <c r="H13" s="2">
        <v>1.9526812442525689</v>
      </c>
      <c r="I13" s="2">
        <v>1.9398398165977471</v>
      </c>
      <c r="J13" s="2">
        <v>1.6577341914588131</v>
      </c>
      <c r="K13" s="2">
        <v>1.527681336970576</v>
      </c>
      <c r="L13" s="2">
        <v>1.4505576268910889</v>
      </c>
      <c r="M13" s="2">
        <v>1.402270818668073</v>
      </c>
      <c r="N13" s="2">
        <v>3.4</v>
      </c>
      <c r="O13" s="2"/>
      <c r="P13" s="2"/>
      <c r="Q13" s="2">
        <f t="shared" si="0"/>
        <v>51.117112103036426</v>
      </c>
      <c r="R13" s="2">
        <f t="shared" si="1"/>
        <v>125.61740648488099</v>
      </c>
      <c r="S13" s="2">
        <f t="shared" si="2"/>
        <v>738.98271458466922</v>
      </c>
      <c r="T13" s="2"/>
      <c r="U13" s="2"/>
      <c r="V13" s="2"/>
      <c r="W13" s="2"/>
      <c r="X13" s="2"/>
      <c r="Y13" s="2"/>
      <c r="Z13" s="2"/>
    </row>
    <row r="14" spans="1:26" x14ac:dyDescent="0.2">
      <c r="A14" s="2">
        <v>2</v>
      </c>
      <c r="B14" s="2">
        <v>260603</v>
      </c>
      <c r="C14" s="2" t="s">
        <v>24</v>
      </c>
      <c r="D14" s="2" t="s">
        <v>20</v>
      </c>
      <c r="E14" s="2" t="s">
        <v>41</v>
      </c>
      <c r="F14" s="2">
        <v>1.634557435992865</v>
      </c>
      <c r="G14" s="2">
        <v>1.787400721521996</v>
      </c>
      <c r="H14" s="2">
        <v>2.036075833467641</v>
      </c>
      <c r="I14" s="2">
        <v>2.1517444726093702</v>
      </c>
      <c r="J14" s="2">
        <v>1.7935042721246659</v>
      </c>
      <c r="K14" s="2">
        <v>1.58956822250264</v>
      </c>
      <c r="L14" s="2">
        <v>1.379463773694908</v>
      </c>
      <c r="M14" s="2">
        <v>1.2863648255174689</v>
      </c>
      <c r="N14" s="2">
        <v>2.4</v>
      </c>
      <c r="O14" s="2"/>
      <c r="P14" s="2"/>
      <c r="Q14" s="2">
        <f t="shared" si="0"/>
        <v>56.576256132551791</v>
      </c>
      <c r="R14" s="2">
        <f t="shared" si="1"/>
        <v>133.99904967089026</v>
      </c>
      <c r="S14" s="2">
        <f t="shared" si="2"/>
        <v>867.99902736799652</v>
      </c>
      <c r="T14" s="2"/>
      <c r="U14" s="2"/>
      <c r="V14" s="2"/>
      <c r="W14" s="2"/>
      <c r="X14" s="2"/>
      <c r="Y14" s="2"/>
      <c r="Z14" s="2"/>
    </row>
    <row r="15" spans="1:26" x14ac:dyDescent="0.2">
      <c r="A15" s="2">
        <v>2</v>
      </c>
      <c r="B15" s="2">
        <v>260603</v>
      </c>
      <c r="C15" s="2" t="s">
        <v>26</v>
      </c>
      <c r="D15" s="2" t="s">
        <v>20</v>
      </c>
      <c r="E15" s="2" t="s">
        <v>42</v>
      </c>
      <c r="F15" s="2">
        <v>0.79572805080805675</v>
      </c>
      <c r="G15" s="2">
        <v>0.91889102373248921</v>
      </c>
      <c r="H15" s="2">
        <v>1.3168702970957731</v>
      </c>
      <c r="I15" s="2">
        <v>1.4317049758885789</v>
      </c>
      <c r="J15" s="2">
        <v>0.938803846262384</v>
      </c>
      <c r="K15" s="2">
        <v>0.69526750491434686</v>
      </c>
      <c r="L15" s="2">
        <v>0.47151286635820322</v>
      </c>
      <c r="M15" s="2">
        <v>0.34272384627738078</v>
      </c>
      <c r="N15" s="2">
        <v>3.600000000000001</v>
      </c>
      <c r="O15" s="2"/>
      <c r="P15" s="2"/>
      <c r="Q15" s="2">
        <f t="shared" si="0"/>
        <v>17.566785288933808</v>
      </c>
      <c r="R15" s="2">
        <f t="shared" si="1"/>
        <v>68.272646013967531</v>
      </c>
      <c r="S15" s="2">
        <f t="shared" si="2"/>
        <v>227.1670525806361</v>
      </c>
      <c r="T15" s="2"/>
      <c r="U15" s="2"/>
      <c r="V15" s="2"/>
      <c r="W15" s="2"/>
      <c r="X15" s="2"/>
      <c r="Y15" s="2"/>
      <c r="Z15" s="2"/>
    </row>
    <row r="16" spans="1:26" x14ac:dyDescent="0.2">
      <c r="A16" s="2">
        <v>2</v>
      </c>
      <c r="B16" s="2">
        <v>260603</v>
      </c>
      <c r="C16" s="2" t="s">
        <v>43</v>
      </c>
      <c r="D16" s="2" t="s">
        <v>20</v>
      </c>
      <c r="E16" s="2" t="s">
        <v>44</v>
      </c>
      <c r="F16" s="2">
        <v>1.959723972244185</v>
      </c>
      <c r="G16" s="2">
        <v>2.0600812653309939</v>
      </c>
      <c r="H16" s="2">
        <v>2.273898585311708</v>
      </c>
      <c r="I16" s="2">
        <v>2.4724150259787558</v>
      </c>
      <c r="J16" s="2">
        <v>2.1856542760086031</v>
      </c>
      <c r="K16" s="2">
        <v>1.983936079631232</v>
      </c>
      <c r="L16" s="2">
        <v>1.812080188014412</v>
      </c>
      <c r="M16" s="2">
        <v>1.705896045159816</v>
      </c>
      <c r="N16" s="2">
        <v>2.8</v>
      </c>
      <c r="O16" s="2"/>
      <c r="P16" s="2"/>
      <c r="Q16" s="2">
        <f t="shared" si="0"/>
        <v>75.911826647144295</v>
      </c>
      <c r="R16" s="2">
        <f t="shared" si="1"/>
        <v>158.91191909468725</v>
      </c>
      <c r="S16" s="2">
        <f t="shared" si="2"/>
        <v>1297.9481374479906</v>
      </c>
      <c r="T16" s="2"/>
      <c r="U16" s="2"/>
      <c r="V16" s="2"/>
      <c r="W16" s="2"/>
      <c r="X16" s="2"/>
      <c r="Y16" s="2"/>
      <c r="Z16" s="2"/>
    </row>
    <row r="17" spans="1:26" x14ac:dyDescent="0.2">
      <c r="A17" s="2">
        <v>3</v>
      </c>
      <c r="B17" s="2">
        <v>260610</v>
      </c>
      <c r="C17" s="2" t="s">
        <v>45</v>
      </c>
      <c r="D17" s="2" t="s">
        <v>20</v>
      </c>
      <c r="E17" s="2" t="s">
        <v>46</v>
      </c>
      <c r="F17" s="2">
        <v>1.091323797966119</v>
      </c>
      <c r="G17" s="2">
        <v>1.2863118947707299</v>
      </c>
      <c r="H17" s="2">
        <v>1.143515409256914</v>
      </c>
      <c r="I17" s="2">
        <v>0.96900262613216293</v>
      </c>
      <c r="J17" s="2">
        <v>0.77536001019498046</v>
      </c>
      <c r="K17" s="2">
        <v>0.76400777039846202</v>
      </c>
      <c r="L17" s="2">
        <v>0.85004268241020287</v>
      </c>
      <c r="M17" s="2">
        <v>0.94542046976707506</v>
      </c>
      <c r="N17" s="2">
        <v>7</v>
      </c>
      <c r="O17" s="2"/>
      <c r="P17" s="2"/>
      <c r="Q17" s="2">
        <f t="shared" si="0"/>
        <v>29.370277012886458</v>
      </c>
      <c r="R17" s="2">
        <f t="shared" si="1"/>
        <v>54.836257032547174</v>
      </c>
      <c r="S17" s="2">
        <f t="shared" si="2"/>
        <v>151.34231953691952</v>
      </c>
      <c r="T17" s="2"/>
      <c r="U17" s="2"/>
      <c r="V17" s="2"/>
      <c r="W17" s="2"/>
      <c r="X17" s="2"/>
      <c r="Y17" s="2"/>
      <c r="Z17" s="2"/>
    </row>
    <row r="18" spans="1:26" x14ac:dyDescent="0.2">
      <c r="A18" s="2">
        <v>3</v>
      </c>
      <c r="B18" s="2">
        <v>260610</v>
      </c>
      <c r="C18" s="2" t="s">
        <v>47</v>
      </c>
      <c r="D18" s="2" t="s">
        <v>20</v>
      </c>
      <c r="E18" s="2" t="s">
        <v>48</v>
      </c>
      <c r="F18" s="2">
        <v>1.188089806446873</v>
      </c>
      <c r="G18" s="2">
        <v>1.391946550762684</v>
      </c>
      <c r="H18" s="2">
        <v>1.320916983113031</v>
      </c>
      <c r="I18" s="2">
        <v>1.1355480219856871</v>
      </c>
      <c r="J18" s="2">
        <v>0.94224908637228444</v>
      </c>
      <c r="K18" s="2">
        <v>0.91278937041274355</v>
      </c>
      <c r="L18" s="2">
        <v>0.9789638910686228</v>
      </c>
      <c r="M18" s="2">
        <v>1.0915392845327021</v>
      </c>
      <c r="N18" s="2">
        <v>8.6000000000000014</v>
      </c>
      <c r="O18" s="2"/>
      <c r="P18" s="2"/>
      <c r="Q18" s="2">
        <f t="shared" si="0"/>
        <v>33.71663942023892</v>
      </c>
      <c r="R18" s="2">
        <f t="shared" si="1"/>
        <v>68.598351359604493</v>
      </c>
      <c r="S18" s="2">
        <f t="shared" si="2"/>
        <v>228.92803248663805</v>
      </c>
      <c r="T18" s="2"/>
      <c r="U18" s="2"/>
      <c r="V18" s="2"/>
      <c r="W18" s="2"/>
      <c r="X18" s="2"/>
      <c r="Y18" s="2"/>
      <c r="Z18" s="2"/>
    </row>
    <row r="19" spans="1:26" x14ac:dyDescent="0.2">
      <c r="A19" s="2">
        <v>3</v>
      </c>
      <c r="B19" s="2">
        <v>260610</v>
      </c>
      <c r="C19" s="2" t="s">
        <v>49</v>
      </c>
      <c r="D19" s="2" t="s">
        <v>20</v>
      </c>
      <c r="E19" s="2" t="s">
        <v>50</v>
      </c>
      <c r="F19" s="2">
        <v>1.475365277440571</v>
      </c>
      <c r="G19" s="2">
        <v>1.6325340502690411</v>
      </c>
      <c r="H19" s="2">
        <v>1.7594447320533351</v>
      </c>
      <c r="I19" s="2">
        <v>1.6664568327512921</v>
      </c>
      <c r="J19" s="2">
        <v>1.384016081433503</v>
      </c>
      <c r="K19" s="2">
        <v>1.280722948590467</v>
      </c>
      <c r="L19" s="2">
        <v>1.289893816947743</v>
      </c>
      <c r="M19" s="2">
        <v>1.3915472039982879</v>
      </c>
      <c r="N19" s="2">
        <v>15.7</v>
      </c>
      <c r="O19" s="2"/>
      <c r="P19" s="2"/>
      <c r="Q19" s="2">
        <f t="shared" si="0"/>
        <v>47.915805851718751</v>
      </c>
      <c r="R19" s="2">
        <f t="shared" si="1"/>
        <v>106.93212780282268</v>
      </c>
      <c r="S19" s="2">
        <f t="shared" si="2"/>
        <v>510.0427076591377</v>
      </c>
      <c r="T19" s="2"/>
      <c r="U19" s="2"/>
      <c r="V19" s="2"/>
      <c r="W19" s="2"/>
      <c r="X19" s="2"/>
      <c r="Y19" s="2"/>
      <c r="Z19" s="2"/>
    </row>
    <row r="20" spans="1:26" x14ac:dyDescent="0.2">
      <c r="A20" s="2">
        <v>3</v>
      </c>
      <c r="B20" s="2">
        <v>260610</v>
      </c>
      <c r="C20" s="2" t="s">
        <v>51</v>
      </c>
      <c r="D20" s="2" t="s">
        <v>20</v>
      </c>
      <c r="E20" s="2" t="s">
        <v>52</v>
      </c>
      <c r="F20" s="2">
        <v>2.0732827431403091</v>
      </c>
      <c r="G20" s="2">
        <v>2.531169196457252</v>
      </c>
      <c r="H20" s="2">
        <v>2.7746157808389511</v>
      </c>
      <c r="I20" s="2">
        <v>2.4774743853051309</v>
      </c>
      <c r="J20" s="2">
        <v>2.0394856262838661</v>
      </c>
      <c r="K20" s="2">
        <v>1.879963160887099</v>
      </c>
      <c r="L20" s="2">
        <v>1.8688690721596299</v>
      </c>
      <c r="M20" s="2">
        <v>2.018221793851513</v>
      </c>
      <c r="N20" s="2">
        <v>15.6</v>
      </c>
      <c r="O20" s="2"/>
      <c r="P20" s="2"/>
      <c r="Q20" s="2">
        <f t="shared" si="0"/>
        <v>83.162810924954215</v>
      </c>
      <c r="R20" s="2">
        <f t="shared" si="1"/>
        <v>215.98319918847324</v>
      </c>
      <c r="S20" s="2">
        <f t="shared" si="2"/>
        <v>1127.7565929127811</v>
      </c>
      <c r="T20" s="2"/>
      <c r="U20" s="2"/>
      <c r="V20" s="2"/>
      <c r="W20" s="2"/>
      <c r="X20" s="2"/>
      <c r="Y20" s="2"/>
      <c r="Z20" s="2"/>
    </row>
    <row r="21" spans="1:26" x14ac:dyDescent="0.2">
      <c r="A21" s="2">
        <v>3</v>
      </c>
      <c r="B21" s="2">
        <v>260610</v>
      </c>
      <c r="C21" s="2" t="s">
        <v>53</v>
      </c>
      <c r="D21" s="2" t="s">
        <v>20</v>
      </c>
      <c r="E21" s="2" t="s">
        <v>54</v>
      </c>
      <c r="F21" s="2">
        <v>1.6686699382895389</v>
      </c>
      <c r="G21" s="2">
        <v>1.8146819116721209</v>
      </c>
      <c r="H21" s="2">
        <v>2.1026597082726912</v>
      </c>
      <c r="I21" s="2">
        <v>2.0990547612664869</v>
      </c>
      <c r="J21" s="2">
        <v>1.786938733789293</v>
      </c>
      <c r="K21" s="2">
        <v>1.634827797264131</v>
      </c>
      <c r="L21" s="2">
        <v>1.559409659732865</v>
      </c>
      <c r="M21" s="2">
        <v>1.580538449087723</v>
      </c>
      <c r="N21" s="2">
        <v>9.1000000000000014</v>
      </c>
      <c r="O21" s="2"/>
      <c r="P21" s="2"/>
      <c r="Q21" s="2">
        <f t="shared" si="0"/>
        <v>58.502511793864755</v>
      </c>
      <c r="R21" s="2">
        <f t="shared" si="1"/>
        <v>140.82488630474779</v>
      </c>
      <c r="S21" s="2">
        <f t="shared" si="2"/>
        <v>861.52478767773584</v>
      </c>
      <c r="T21" s="2"/>
      <c r="U21" s="2"/>
      <c r="V21" s="2"/>
      <c r="W21" s="2"/>
      <c r="X21" s="2"/>
      <c r="Y21" s="2"/>
      <c r="Z21" s="2"/>
    </row>
    <row r="22" spans="1:26" x14ac:dyDescent="0.2">
      <c r="A22" s="2">
        <v>3</v>
      </c>
      <c r="B22" s="2">
        <v>260610</v>
      </c>
      <c r="C22" s="2" t="s">
        <v>32</v>
      </c>
      <c r="D22" s="2" t="s">
        <v>20</v>
      </c>
      <c r="E22" s="2" t="s">
        <v>55</v>
      </c>
      <c r="F22" s="2">
        <v>2.2204535661629601</v>
      </c>
      <c r="G22" s="2">
        <v>2.3914427800281581</v>
      </c>
      <c r="H22" s="2">
        <v>2.5945836147965928</v>
      </c>
      <c r="I22" s="2">
        <v>2.6663493929665818</v>
      </c>
      <c r="J22" s="2">
        <v>2.313688875534667</v>
      </c>
      <c r="K22" s="2">
        <v>2.083206648220262</v>
      </c>
      <c r="L22" s="2">
        <v>1.915600446280409</v>
      </c>
      <c r="M22" s="2">
        <v>1.868298860569152</v>
      </c>
      <c r="N22" s="2">
        <v>15</v>
      </c>
      <c r="O22" s="2"/>
      <c r="P22" s="2"/>
      <c r="Q22" s="2">
        <f t="shared" si="0"/>
        <v>92.92927177779967</v>
      </c>
      <c r="R22" s="2">
        <f t="shared" si="1"/>
        <v>194.76810996214255</v>
      </c>
      <c r="S22" s="2">
        <f t="shared" si="2"/>
        <v>1456.7020093232836</v>
      </c>
      <c r="T22" s="2"/>
      <c r="U22" s="2"/>
      <c r="V22" s="2"/>
      <c r="W22" s="2"/>
      <c r="X22" s="2"/>
      <c r="Y22" s="2"/>
      <c r="Z22" s="2"/>
    </row>
    <row r="23" spans="1:26" x14ac:dyDescent="0.2">
      <c r="A23" s="2">
        <v>3</v>
      </c>
      <c r="B23" s="2">
        <v>260610</v>
      </c>
      <c r="C23" s="2" t="s">
        <v>34</v>
      </c>
      <c r="D23" s="2" t="s">
        <v>20</v>
      </c>
      <c r="E23" s="2" t="s">
        <v>56</v>
      </c>
      <c r="F23" s="2">
        <v>1.6371103198131951</v>
      </c>
      <c r="G23" s="2">
        <v>1.80305615607947</v>
      </c>
      <c r="H23" s="2">
        <v>1.998165722247814</v>
      </c>
      <c r="I23" s="2">
        <v>2.0224546540660779</v>
      </c>
      <c r="J23" s="2">
        <v>1.6984488842443</v>
      </c>
      <c r="K23" s="2">
        <v>1.5209854003678029</v>
      </c>
      <c r="L23" s="2">
        <v>1.4327119054211821</v>
      </c>
      <c r="M23" s="2">
        <v>1.434079177641947</v>
      </c>
      <c r="N23" s="2">
        <v>13.3</v>
      </c>
      <c r="O23" s="2"/>
      <c r="P23" s="2"/>
      <c r="Q23" s="2">
        <f t="shared" si="0"/>
        <v>56.719562140780155</v>
      </c>
      <c r="R23" s="2">
        <f t="shared" si="1"/>
        <v>130.16557589405053</v>
      </c>
      <c r="S23" s="2">
        <f t="shared" si="2"/>
        <v>776.5980743865465</v>
      </c>
      <c r="T23" s="2"/>
      <c r="U23" s="2"/>
      <c r="V23" s="2"/>
      <c r="W23" s="2"/>
      <c r="X23" s="2"/>
      <c r="Y23" s="2"/>
      <c r="Z23" s="2"/>
    </row>
    <row r="24" spans="1:26" x14ac:dyDescent="0.2">
      <c r="A24" s="2">
        <v>4</v>
      </c>
      <c r="B24" s="2">
        <v>260618</v>
      </c>
      <c r="C24" s="2" t="s">
        <v>57</v>
      </c>
      <c r="D24" s="2" t="s">
        <v>20</v>
      </c>
      <c r="E24" s="2" t="s">
        <v>58</v>
      </c>
      <c r="F24" s="2">
        <v>2.1076128595027348</v>
      </c>
      <c r="G24" s="2">
        <v>2.3946869519648559</v>
      </c>
      <c r="H24" s="2">
        <v>2.5769087910283792</v>
      </c>
      <c r="I24" s="2">
        <v>2.4189560636663421</v>
      </c>
      <c r="J24" s="2">
        <v>2.0107297598936928</v>
      </c>
      <c r="K24" s="2">
        <v>1.777908156120559</v>
      </c>
      <c r="L24" s="2">
        <v>1.713505164657618</v>
      </c>
      <c r="M24" s="2">
        <v>1.7542182392419461</v>
      </c>
      <c r="N24" s="2"/>
      <c r="O24" s="2"/>
      <c r="P24" s="2"/>
      <c r="Q24" s="2">
        <f t="shared" si="0"/>
        <v>85.404066613011452</v>
      </c>
      <c r="R24" s="2">
        <f t="shared" si="1"/>
        <v>192.72659262321932</v>
      </c>
      <c r="S24" s="2">
        <f t="shared" si="2"/>
        <v>1095.6630020471098</v>
      </c>
      <c r="T24" s="2"/>
      <c r="U24" s="2"/>
      <c r="V24" s="2"/>
      <c r="W24" s="2"/>
      <c r="X24" s="2"/>
      <c r="Y24" s="2"/>
      <c r="Z24" s="2"/>
    </row>
    <row r="25" spans="1:26" x14ac:dyDescent="0.2">
      <c r="A25" s="2">
        <v>4</v>
      </c>
      <c r="B25" s="2">
        <v>260618</v>
      </c>
      <c r="C25" s="2" t="s">
        <v>59</v>
      </c>
      <c r="D25" s="2" t="s">
        <v>60</v>
      </c>
      <c r="E25" s="2" t="s">
        <v>61</v>
      </c>
      <c r="F25" s="2">
        <v>1.3623769831201049</v>
      </c>
      <c r="G25" s="2">
        <v>1.5306211295776491</v>
      </c>
      <c r="H25" s="2">
        <v>1.8454816101997591</v>
      </c>
      <c r="I25" s="2">
        <v>1.8923019699057391</v>
      </c>
      <c r="J25" s="2">
        <v>1.4042606795900561</v>
      </c>
      <c r="K25" s="2">
        <v>1.193901048799044</v>
      </c>
      <c r="L25" s="2">
        <v>1.0861448629728321</v>
      </c>
      <c r="M25" s="2">
        <v>1.1117402164118739</v>
      </c>
      <c r="N25" s="2"/>
      <c r="O25" s="2"/>
      <c r="P25" s="2"/>
      <c r="Q25" s="2">
        <f t="shared" si="0"/>
        <v>42.106160119348232</v>
      </c>
      <c r="R25" s="2">
        <f t="shared" si="1"/>
        <v>115.12255762598464</v>
      </c>
      <c r="S25" s="2">
        <f t="shared" si="2"/>
        <v>525.5453533053244</v>
      </c>
      <c r="T25" s="2"/>
      <c r="U25" s="2"/>
      <c r="V25" s="2"/>
      <c r="W25" s="2"/>
      <c r="X25" s="2"/>
      <c r="Y25" s="2"/>
      <c r="Z25" s="2"/>
    </row>
    <row r="26" spans="1:26" x14ac:dyDescent="0.2">
      <c r="A26" s="2">
        <v>4</v>
      </c>
      <c r="B26" s="2">
        <v>260618</v>
      </c>
      <c r="C26" s="2" t="s">
        <v>62</v>
      </c>
      <c r="D26" s="2" t="s">
        <v>20</v>
      </c>
      <c r="E26" s="2" t="s">
        <v>63</v>
      </c>
      <c r="F26" s="2">
        <v>0.98868699443343555</v>
      </c>
      <c r="G26" s="2">
        <v>1.1211168759885319</v>
      </c>
      <c r="H26" s="2">
        <v>1.322763361157123</v>
      </c>
      <c r="I26" s="2">
        <v>1.348276450941327</v>
      </c>
      <c r="J26" s="2">
        <v>1.016647238402189</v>
      </c>
      <c r="K26" s="2">
        <v>0.84970049515077284</v>
      </c>
      <c r="L26" s="2">
        <v>0.7533738052342619</v>
      </c>
      <c r="M26" s="2">
        <v>0.76380459085801011</v>
      </c>
      <c r="N26" s="2"/>
      <c r="O26" s="2"/>
      <c r="P26" s="2"/>
      <c r="Q26" s="2">
        <f t="shared" si="0"/>
        <v>25.013770760263366</v>
      </c>
      <c r="R26" s="2">
        <f t="shared" si="1"/>
        <v>68.747139336591857</v>
      </c>
      <c r="S26" s="2">
        <f t="shared" si="2"/>
        <v>268.58968123387137</v>
      </c>
      <c r="T26" s="2"/>
      <c r="U26" s="2"/>
      <c r="V26" s="2"/>
      <c r="W26" s="2"/>
      <c r="X26" s="2"/>
      <c r="Y26" s="2"/>
      <c r="Z26" s="2"/>
    </row>
    <row r="27" spans="1:26" x14ac:dyDescent="0.2">
      <c r="A27" s="2">
        <v>4</v>
      </c>
      <c r="B27" s="2">
        <v>260618</v>
      </c>
      <c r="C27" s="2" t="s">
        <v>64</v>
      </c>
      <c r="D27" s="2" t="s">
        <v>60</v>
      </c>
      <c r="E27" s="2" t="s">
        <v>65</v>
      </c>
      <c r="F27" s="2">
        <v>1.68455697628594</v>
      </c>
      <c r="G27" s="2">
        <v>1.7968016407256739</v>
      </c>
      <c r="H27" s="2">
        <v>2.0387186455703521</v>
      </c>
      <c r="I27" s="2">
        <v>1.863912491778237</v>
      </c>
      <c r="J27" s="2">
        <v>1.3111443509860941</v>
      </c>
      <c r="K27" s="2">
        <v>1.2791153655883121</v>
      </c>
      <c r="L27" s="2">
        <v>1.134489025267273</v>
      </c>
      <c r="M27" s="2">
        <v>1.153755847940771</v>
      </c>
      <c r="N27" s="2"/>
      <c r="O27" s="2"/>
      <c r="P27" s="2"/>
      <c r="Q27" s="2">
        <f t="shared" si="0"/>
        <v>59.40796178547572</v>
      </c>
      <c r="R27" s="2">
        <f t="shared" si="1"/>
        <v>134.26772865232132</v>
      </c>
      <c r="S27" s="2">
        <f t="shared" si="2"/>
        <v>456.13540208778039</v>
      </c>
      <c r="T27" s="2"/>
      <c r="U27" s="2"/>
      <c r="V27" s="2"/>
      <c r="W27" s="2"/>
      <c r="X27" s="2"/>
      <c r="Y27" s="2"/>
      <c r="Z27" s="2"/>
    </row>
    <row r="28" spans="1:26" x14ac:dyDescent="0.2">
      <c r="A28" s="2">
        <v>4</v>
      </c>
      <c r="B28" s="2">
        <v>260618</v>
      </c>
      <c r="C28" s="2" t="s">
        <v>66</v>
      </c>
      <c r="D28" s="2" t="s">
        <v>20</v>
      </c>
      <c r="E28" s="2" t="s">
        <v>67</v>
      </c>
      <c r="F28" s="2">
        <v>2.5455302654761929</v>
      </c>
      <c r="G28" s="2">
        <v>2.8425564615203198</v>
      </c>
      <c r="H28" s="2">
        <v>3.0896167255671809</v>
      </c>
      <c r="I28" s="2">
        <v>3.032666029204198</v>
      </c>
      <c r="J28" s="2">
        <v>2.5566840863963312</v>
      </c>
      <c r="K28" s="2">
        <v>2.2649130594825548</v>
      </c>
      <c r="L28" s="2">
        <v>2.012246512892585</v>
      </c>
      <c r="M28" s="2">
        <v>1.862609887373798</v>
      </c>
      <c r="N28" s="2"/>
      <c r="O28" s="2"/>
      <c r="P28" s="2"/>
      <c r="Q28" s="2">
        <f t="shared" si="0"/>
        <v>115.92916590281492</v>
      </c>
      <c r="R28" s="2">
        <f t="shared" si="1"/>
        <v>254.89290721923894</v>
      </c>
      <c r="S28" s="2">
        <f t="shared" si="2"/>
        <v>1782.7959377643715</v>
      </c>
      <c r="T28" s="2"/>
      <c r="U28" s="2"/>
      <c r="V28" s="2"/>
      <c r="W28" s="2"/>
      <c r="X28" s="2"/>
      <c r="Y28" s="2"/>
      <c r="Z28" s="2"/>
    </row>
    <row r="29" spans="1:26" x14ac:dyDescent="0.2">
      <c r="A29" s="2">
        <v>4</v>
      </c>
      <c r="B29" s="2">
        <v>260618</v>
      </c>
      <c r="C29" s="2" t="s">
        <v>68</v>
      </c>
      <c r="D29" s="2" t="s">
        <v>60</v>
      </c>
      <c r="E29" s="2" t="s">
        <v>69</v>
      </c>
      <c r="F29" s="2">
        <v>3.2479930173180769</v>
      </c>
      <c r="G29" s="2">
        <v>3.372392415763021</v>
      </c>
      <c r="H29" s="2">
        <v>3.8316187437364069</v>
      </c>
      <c r="I29" s="2">
        <v>3.940740976928693</v>
      </c>
      <c r="J29" s="2">
        <v>3.5046268721867588</v>
      </c>
      <c r="K29" s="2">
        <v>3.2344697865156431</v>
      </c>
      <c r="L29" s="2">
        <v>3.0204731164841281</v>
      </c>
      <c r="M29" s="2">
        <v>2.9094815604676691</v>
      </c>
      <c r="N29" s="2"/>
      <c r="O29" s="2"/>
      <c r="P29" s="2"/>
      <c r="Q29" s="2">
        <f t="shared" si="0"/>
        <v>171.94840081176002</v>
      </c>
      <c r="R29" s="2">
        <f t="shared" si="1"/>
        <v>354.99829203787453</v>
      </c>
      <c r="S29" s="2">
        <f t="shared" si="2"/>
        <v>3363.9467055187833</v>
      </c>
      <c r="T29" s="2"/>
      <c r="U29" s="2"/>
      <c r="V29" s="2"/>
      <c r="W29" s="2"/>
      <c r="X29" s="2"/>
      <c r="Y29" s="2"/>
      <c r="Z29" s="2"/>
    </row>
    <row r="30" spans="1:26" x14ac:dyDescent="0.2">
      <c r="A30" s="2">
        <v>4</v>
      </c>
      <c r="B30" s="2">
        <v>260618</v>
      </c>
      <c r="C30" s="2" t="s">
        <v>70</v>
      </c>
      <c r="D30" s="2" t="s">
        <v>20</v>
      </c>
      <c r="E30" s="2" t="s">
        <v>71</v>
      </c>
      <c r="F30" s="2">
        <v>2.583988107597087</v>
      </c>
      <c r="G30" s="2">
        <v>2.6190146013959308</v>
      </c>
      <c r="H30" s="2">
        <v>2.8218064339656488</v>
      </c>
      <c r="I30" s="2">
        <v>3.1303015044597249</v>
      </c>
      <c r="J30" s="2">
        <v>2.9828522633564818</v>
      </c>
      <c r="K30" s="2">
        <v>2.7514362808858959</v>
      </c>
      <c r="L30" s="2">
        <v>2.5183371480698722</v>
      </c>
      <c r="M30" s="2">
        <v>2.3649168651851409</v>
      </c>
      <c r="N30" s="2"/>
      <c r="O30" s="2"/>
      <c r="P30" s="2"/>
      <c r="Q30" s="2">
        <f t="shared" si="0"/>
        <v>118.7765238306832</v>
      </c>
      <c r="R30" s="2">
        <f t="shared" si="1"/>
        <v>221.66908444970642</v>
      </c>
      <c r="S30" s="2">
        <f t="shared" si="2"/>
        <v>2432.902722890311</v>
      </c>
      <c r="T30" s="2"/>
      <c r="U30" s="2"/>
      <c r="V30" s="2"/>
      <c r="W30" s="2"/>
      <c r="X30" s="2"/>
      <c r="Y30" s="2"/>
      <c r="Z30" s="2"/>
    </row>
    <row r="31" spans="1:26" x14ac:dyDescent="0.2">
      <c r="A31" s="2">
        <v>4</v>
      </c>
      <c r="B31" s="2">
        <v>260618</v>
      </c>
      <c r="C31" s="2" t="s">
        <v>72</v>
      </c>
      <c r="D31" s="2" t="s">
        <v>60</v>
      </c>
      <c r="E31" s="2" t="s">
        <v>73</v>
      </c>
      <c r="F31" s="2">
        <v>1.8399078936680591</v>
      </c>
      <c r="G31" s="2">
        <v>1.87338479579781</v>
      </c>
      <c r="H31" s="2">
        <v>2.172212459559852</v>
      </c>
      <c r="I31" s="2">
        <v>2.499606627215941</v>
      </c>
      <c r="J31" s="2">
        <v>2.1849608999725261</v>
      </c>
      <c r="K31" s="2">
        <v>1.9663728258094191</v>
      </c>
      <c r="L31" s="2">
        <v>1.7018382874316369</v>
      </c>
      <c r="M31" s="2">
        <v>1.5431157756953739</v>
      </c>
      <c r="N31" s="2"/>
      <c r="O31" s="2"/>
      <c r="P31" s="2"/>
      <c r="Q31" s="2">
        <f t="shared" si="0"/>
        <v>68.537029454794364</v>
      </c>
      <c r="R31" s="2">
        <f t="shared" si="1"/>
        <v>148.07980850554148</v>
      </c>
      <c r="S31" s="2">
        <f t="shared" si="2"/>
        <v>1297.112986503605</v>
      </c>
      <c r="T31" s="2"/>
      <c r="U31" s="2"/>
      <c r="V31" s="2"/>
      <c r="W31" s="2"/>
      <c r="X31" s="2"/>
      <c r="Y31" s="2"/>
      <c r="Z31" s="2"/>
    </row>
    <row r="32" spans="1:26" x14ac:dyDescent="0.2">
      <c r="A32" s="2">
        <v>4</v>
      </c>
      <c r="B32" s="2">
        <v>260618</v>
      </c>
      <c r="C32" s="2" t="s">
        <v>28</v>
      </c>
      <c r="D32" s="2" t="s">
        <v>20</v>
      </c>
      <c r="E32" s="2" t="s">
        <v>74</v>
      </c>
      <c r="F32" s="2">
        <v>3.213090158642407</v>
      </c>
      <c r="G32" s="2">
        <v>3.385612580019973</v>
      </c>
      <c r="H32" s="2">
        <v>3.1657899795016342</v>
      </c>
      <c r="I32" s="2">
        <v>3.154820303229223</v>
      </c>
      <c r="J32" s="2">
        <v>3.466717794783361</v>
      </c>
      <c r="K32" s="2">
        <v>3.1536218998049179</v>
      </c>
      <c r="L32" s="2">
        <v>2.4767428890426388</v>
      </c>
      <c r="M32" s="2">
        <v>2.27009480257174</v>
      </c>
      <c r="N32" s="2"/>
      <c r="O32" s="2"/>
      <c r="P32" s="2"/>
      <c r="Q32" s="2">
        <f t="shared" si="0"/>
        <v>168.97025900875249</v>
      </c>
      <c r="R32" s="2">
        <f t="shared" si="1"/>
        <v>264.63360160122903</v>
      </c>
      <c r="S32" s="2">
        <f t="shared" si="2"/>
        <v>3291.306277956136</v>
      </c>
      <c r="T32" s="2"/>
      <c r="U32" s="2"/>
      <c r="V32" s="2"/>
      <c r="W32" s="2"/>
      <c r="X32" s="2"/>
      <c r="Y32" s="2"/>
      <c r="Z32" s="2"/>
    </row>
    <row r="33" spans="1:26" x14ac:dyDescent="0.2">
      <c r="A33" s="2">
        <v>4</v>
      </c>
      <c r="B33" s="2">
        <v>260618</v>
      </c>
      <c r="C33" s="2" t="s">
        <v>30</v>
      </c>
      <c r="D33" s="2" t="s">
        <v>60</v>
      </c>
      <c r="E33" s="2" t="s">
        <v>75</v>
      </c>
      <c r="F33" s="2">
        <v>2.9501026269551649</v>
      </c>
      <c r="G33" s="2">
        <v>3.0952044820935831</v>
      </c>
      <c r="H33" s="2">
        <v>3.5310740834432739</v>
      </c>
      <c r="I33" s="2">
        <v>3.7187508253941499</v>
      </c>
      <c r="J33" s="2">
        <v>3.322064327581792</v>
      </c>
      <c r="K33" s="2">
        <v>3.0308082797024949</v>
      </c>
      <c r="L33" s="2">
        <v>2.7789746715321342</v>
      </c>
      <c r="M33" s="2">
        <v>2.5982910244089341</v>
      </c>
      <c r="N33" s="2"/>
      <c r="O33" s="2"/>
      <c r="P33" s="2"/>
      <c r="Q33" s="2">
        <f t="shared" si="0"/>
        <v>147.17373010274758</v>
      </c>
      <c r="R33" s="2">
        <f t="shared" si="1"/>
        <v>313.07230946435948</v>
      </c>
      <c r="S33" s="2">
        <f t="shared" si="2"/>
        <v>3021.3111181183212</v>
      </c>
      <c r="T33" s="2"/>
      <c r="U33" s="2"/>
      <c r="V33" s="2"/>
      <c r="W33" s="2"/>
      <c r="X33" s="2"/>
      <c r="Y33" s="2"/>
      <c r="Z33" s="2"/>
    </row>
    <row r="34" spans="1:26" x14ac:dyDescent="0.2">
      <c r="A34" s="2">
        <v>4</v>
      </c>
      <c r="B34" s="2">
        <v>260618</v>
      </c>
      <c r="C34" s="2" t="s">
        <v>76</v>
      </c>
      <c r="D34" s="2" t="s">
        <v>20</v>
      </c>
      <c r="E34" s="2" t="s">
        <v>77</v>
      </c>
      <c r="F34" s="2">
        <v>1.950015377566404</v>
      </c>
      <c r="G34" s="2">
        <v>2.1510168116590269</v>
      </c>
      <c r="H34" s="2">
        <v>2.384099354859083</v>
      </c>
      <c r="I34" s="2">
        <v>2.3692021530259848</v>
      </c>
      <c r="J34" s="2">
        <v>2.0108573329041461</v>
      </c>
      <c r="K34" s="2">
        <v>1.8185489247546001</v>
      </c>
      <c r="L34" s="2">
        <v>1.6569935680635051</v>
      </c>
      <c r="M34" s="2">
        <v>1.576090368709457</v>
      </c>
      <c r="N34" s="2"/>
      <c r="O34" s="2"/>
      <c r="P34" s="2"/>
      <c r="Q34" s="2">
        <f t="shared" ref="Q34:Q65" si="3">((F34- 0.00793) / 0.1333)^(1/0.6199)</f>
        <v>75.303625864954995</v>
      </c>
      <c r="R34" s="2">
        <f t="shared" ref="R34:R65" si="4">((H34- 0.0166) / 0.0825)^(1/0.6529)</f>
        <v>170.9473967643828</v>
      </c>
      <c r="S34" s="2">
        <f t="shared" ref="S34:S65" si="5">((J34- 0.06053) / 0.0561)^(1/0.507)</f>
        <v>1095.8043737714486</v>
      </c>
      <c r="T34" s="2"/>
      <c r="U34" s="2"/>
      <c r="V34" s="2"/>
      <c r="W34" s="2"/>
      <c r="X34" s="2"/>
      <c r="Y34" s="2"/>
      <c r="Z34" s="2"/>
    </row>
    <row r="35" spans="1:26" x14ac:dyDescent="0.2">
      <c r="A35" s="2">
        <v>4</v>
      </c>
      <c r="B35" s="2">
        <v>260618</v>
      </c>
      <c r="C35" s="2" t="s">
        <v>78</v>
      </c>
      <c r="D35" s="2" t="s">
        <v>60</v>
      </c>
      <c r="E35" s="2" t="s">
        <v>79</v>
      </c>
      <c r="F35" s="2">
        <v>1.9831842636957739</v>
      </c>
      <c r="G35" s="2">
        <v>2.076704828157641</v>
      </c>
      <c r="H35" s="2">
        <v>2.3863548706464339</v>
      </c>
      <c r="I35" s="2">
        <v>2.3632578808804579</v>
      </c>
      <c r="J35" s="2">
        <v>1.9656666426113649</v>
      </c>
      <c r="K35" s="2">
        <v>1.8093172558897761</v>
      </c>
      <c r="L35" s="2">
        <v>1.6329910635872971</v>
      </c>
      <c r="M35" s="2">
        <v>1.593358532249153</v>
      </c>
      <c r="N35" s="2"/>
      <c r="O35" s="2"/>
      <c r="P35" s="2"/>
      <c r="Q35" s="2">
        <f t="shared" si="3"/>
        <v>77.389172708964566</v>
      </c>
      <c r="R35" s="2">
        <f t="shared" si="4"/>
        <v>171.19690321367273</v>
      </c>
      <c r="S35" s="2">
        <f t="shared" si="5"/>
        <v>1046.2884181184784</v>
      </c>
      <c r="T35" s="2"/>
      <c r="U35" s="2"/>
      <c r="V35" s="2"/>
      <c r="W35" s="2"/>
      <c r="X35" s="2"/>
      <c r="Y35" s="2"/>
      <c r="Z35" s="2"/>
    </row>
    <row r="36" spans="1:26" x14ac:dyDescent="0.2">
      <c r="A36" s="2">
        <v>5</v>
      </c>
      <c r="B36" s="2">
        <v>260625</v>
      </c>
      <c r="C36" s="2" t="s">
        <v>45</v>
      </c>
      <c r="D36" s="2" t="s">
        <v>60</v>
      </c>
      <c r="E36" s="2" t="s">
        <v>80</v>
      </c>
      <c r="F36" s="2">
        <v>1.000237431877355</v>
      </c>
      <c r="G36" s="2">
        <v>1.1521622214276921</v>
      </c>
      <c r="H36" s="2">
        <v>1.040325565557001</v>
      </c>
      <c r="I36" s="2">
        <v>0.83894991114600259</v>
      </c>
      <c r="J36" s="2">
        <v>0.6673007486803747</v>
      </c>
      <c r="K36" s="2">
        <v>0.66759601774604249</v>
      </c>
      <c r="L36" s="2">
        <v>0.75008334442778579</v>
      </c>
      <c r="M36" s="2">
        <v>0.86954442527027143</v>
      </c>
      <c r="N36" s="2"/>
      <c r="O36" s="2"/>
      <c r="P36" s="2"/>
      <c r="Q36" s="2">
        <f t="shared" si="3"/>
        <v>25.490703831242101</v>
      </c>
      <c r="R36" s="2">
        <f t="shared" si="4"/>
        <v>47.335504765737163</v>
      </c>
      <c r="S36" s="2">
        <f t="shared" si="5"/>
        <v>109.53920271250814</v>
      </c>
      <c r="T36" s="2"/>
      <c r="U36" s="2"/>
      <c r="V36" s="2"/>
      <c r="W36" s="2"/>
      <c r="X36" s="2"/>
      <c r="Y36" s="2"/>
      <c r="Z36" s="2"/>
    </row>
    <row r="37" spans="1:26" x14ac:dyDescent="0.2">
      <c r="A37" s="2">
        <v>5</v>
      </c>
      <c r="B37" s="2">
        <v>260625</v>
      </c>
      <c r="C37" s="2" t="s">
        <v>47</v>
      </c>
      <c r="D37" s="2" t="s">
        <v>60</v>
      </c>
      <c r="E37" s="2" t="s">
        <v>81</v>
      </c>
      <c r="F37" s="2">
        <v>1.3232831195324559</v>
      </c>
      <c r="G37" s="2">
        <v>1.2701511335090041</v>
      </c>
      <c r="H37" s="2">
        <v>1.0528431579124991</v>
      </c>
      <c r="I37" s="2">
        <v>0.73453382144250734</v>
      </c>
      <c r="J37" s="2">
        <v>0.58452371084624033</v>
      </c>
      <c r="K37" s="2">
        <v>0.56287120049816131</v>
      </c>
      <c r="L37" s="2">
        <v>0.58703787566338728</v>
      </c>
      <c r="M37" s="2">
        <v>0.79803470414668332</v>
      </c>
      <c r="N37" s="2"/>
      <c r="O37" s="2"/>
      <c r="P37" s="2"/>
      <c r="Q37" s="2">
        <f t="shared" si="3"/>
        <v>40.163057028466952</v>
      </c>
      <c r="R37" s="2">
        <f t="shared" si="4"/>
        <v>48.224878290097266</v>
      </c>
      <c r="S37" s="2">
        <f t="shared" si="5"/>
        <v>82.022194945530657</v>
      </c>
      <c r="T37" s="2"/>
      <c r="U37" s="2"/>
      <c r="V37" s="2"/>
      <c r="W37" s="2"/>
      <c r="X37" s="2"/>
      <c r="Y37" s="2"/>
      <c r="Z37" s="2"/>
    </row>
    <row r="38" spans="1:26" x14ac:dyDescent="0.2">
      <c r="A38" s="2">
        <v>5</v>
      </c>
      <c r="B38" s="2">
        <v>260625</v>
      </c>
      <c r="C38" s="2" t="s">
        <v>49</v>
      </c>
      <c r="D38" s="2" t="s">
        <v>60</v>
      </c>
      <c r="E38" s="2" t="s">
        <v>82</v>
      </c>
      <c r="F38" s="2">
        <v>1.4732669161031511</v>
      </c>
      <c r="G38" s="2">
        <v>1.5687304363311649</v>
      </c>
      <c r="H38" s="2">
        <v>1.7418383484530811</v>
      </c>
      <c r="I38" s="2">
        <v>1.622419085256686</v>
      </c>
      <c r="J38" s="2">
        <v>1.334738351847417</v>
      </c>
      <c r="K38" s="2">
        <v>1.267022988729769</v>
      </c>
      <c r="L38" s="2">
        <v>1.2894596821946229</v>
      </c>
      <c r="M38" s="2">
        <v>1.4142006363786379</v>
      </c>
      <c r="N38" s="2"/>
      <c r="O38" s="2"/>
      <c r="P38" s="2"/>
      <c r="Q38" s="2">
        <f t="shared" si="3"/>
        <v>47.805324746472287</v>
      </c>
      <c r="R38" s="2">
        <f t="shared" si="4"/>
        <v>105.28205395802593</v>
      </c>
      <c r="S38" s="2">
        <f t="shared" si="5"/>
        <v>473.26427251872929</v>
      </c>
      <c r="T38" s="2"/>
      <c r="U38" s="2"/>
      <c r="V38" s="2"/>
      <c r="W38" s="2"/>
      <c r="X38" s="2"/>
      <c r="Y38" s="2"/>
      <c r="Z38" s="2"/>
    </row>
    <row r="39" spans="1:26" x14ac:dyDescent="0.2">
      <c r="A39" s="2">
        <v>5</v>
      </c>
      <c r="B39" s="2">
        <v>260625</v>
      </c>
      <c r="C39" s="2" t="s">
        <v>51</v>
      </c>
      <c r="D39" s="2" t="s">
        <v>60</v>
      </c>
      <c r="E39" s="2" t="s">
        <v>83</v>
      </c>
      <c r="F39" s="2">
        <v>1.337925065833242</v>
      </c>
      <c r="G39" s="2">
        <v>1.486454922284147</v>
      </c>
      <c r="H39" s="2">
        <v>1.7257831469093861</v>
      </c>
      <c r="I39" s="2">
        <v>1.6566408378310229</v>
      </c>
      <c r="J39" s="2">
        <v>1.2778689462161521</v>
      </c>
      <c r="K39" s="2">
        <v>1.1421500911994711</v>
      </c>
      <c r="L39" s="2">
        <v>1.1243310967112941</v>
      </c>
      <c r="M39" s="2">
        <v>1.198768475334038</v>
      </c>
      <c r="N39" s="2"/>
      <c r="O39" s="2"/>
      <c r="P39" s="2"/>
      <c r="Q39" s="2">
        <f t="shared" si="3"/>
        <v>40.88672453576298</v>
      </c>
      <c r="R39" s="2">
        <f t="shared" si="4"/>
        <v>103.78513899428349</v>
      </c>
      <c r="S39" s="2">
        <f t="shared" si="5"/>
        <v>432.50726114629879</v>
      </c>
      <c r="T39" s="2"/>
      <c r="U39" s="2"/>
      <c r="V39" s="2"/>
      <c r="W39" s="2"/>
      <c r="X39" s="2"/>
      <c r="Y39" s="2"/>
      <c r="Z39" s="2"/>
    </row>
    <row r="40" spans="1:26" x14ac:dyDescent="0.2">
      <c r="A40" s="2">
        <v>5</v>
      </c>
      <c r="B40" s="2">
        <v>260625</v>
      </c>
      <c r="C40" s="2" t="s">
        <v>53</v>
      </c>
      <c r="D40" s="2" t="s">
        <v>60</v>
      </c>
      <c r="E40" s="2" t="s">
        <v>84</v>
      </c>
      <c r="F40" s="2">
        <v>1.9565204128197009</v>
      </c>
      <c r="G40" s="2">
        <v>2.1708708808323061</v>
      </c>
      <c r="H40" s="2">
        <v>2.4377488156732618</v>
      </c>
      <c r="I40" s="2">
        <v>2.268304634533711</v>
      </c>
      <c r="J40" s="2">
        <v>1.803801400293469</v>
      </c>
      <c r="K40" s="2">
        <v>1.640387828779766</v>
      </c>
      <c r="L40" s="2">
        <v>1.5492937707281591</v>
      </c>
      <c r="M40" s="2">
        <v>1.575056813191678</v>
      </c>
      <c r="N40" s="2"/>
      <c r="O40" s="2"/>
      <c r="P40" s="2"/>
      <c r="Q40" s="2">
        <f t="shared" si="3"/>
        <v>75.710932179550824</v>
      </c>
      <c r="R40" s="2">
        <f t="shared" si="4"/>
        <v>176.91624235126389</v>
      </c>
      <c r="S40" s="2">
        <f t="shared" si="5"/>
        <v>878.2010912831322</v>
      </c>
      <c r="T40" s="2"/>
      <c r="U40" s="2"/>
      <c r="V40" s="2"/>
      <c r="W40" s="2"/>
      <c r="X40" s="2"/>
      <c r="Y40" s="2"/>
      <c r="Z40" s="2"/>
    </row>
    <row r="41" spans="1:26" x14ac:dyDescent="0.2">
      <c r="A41" s="2">
        <v>5</v>
      </c>
      <c r="B41" s="2">
        <v>260625</v>
      </c>
      <c r="C41" s="2" t="s">
        <v>85</v>
      </c>
      <c r="D41" s="2" t="s">
        <v>60</v>
      </c>
      <c r="E41" s="2" t="s">
        <v>86</v>
      </c>
      <c r="F41" s="2">
        <v>1.6600115464135701</v>
      </c>
      <c r="G41" s="2">
        <v>1.8436689906982009</v>
      </c>
      <c r="H41" s="2">
        <v>2.078553838150814</v>
      </c>
      <c r="I41" s="2">
        <v>1.90713229355827</v>
      </c>
      <c r="J41" s="2">
        <v>1.545774556812846</v>
      </c>
      <c r="K41" s="2">
        <v>1.420957803121816</v>
      </c>
      <c r="L41" s="2">
        <v>1.3908035487040029</v>
      </c>
      <c r="M41" s="2">
        <v>1.484248492486248</v>
      </c>
      <c r="N41" s="2"/>
      <c r="O41" s="2"/>
      <c r="P41" s="2"/>
      <c r="Q41" s="2">
        <f t="shared" si="3"/>
        <v>58.011272282871559</v>
      </c>
      <c r="R41" s="2">
        <f t="shared" si="4"/>
        <v>138.34009262927086</v>
      </c>
      <c r="S41" s="2">
        <f t="shared" si="5"/>
        <v>640.29614039627984</v>
      </c>
      <c r="T41" s="2"/>
      <c r="U41" s="2"/>
      <c r="V41" s="2"/>
      <c r="W41" s="2"/>
      <c r="X41" s="2"/>
      <c r="Y41" s="2"/>
      <c r="Z41" s="2"/>
    </row>
    <row r="42" spans="1:26" x14ac:dyDescent="0.2">
      <c r="A42" s="2">
        <v>5</v>
      </c>
      <c r="B42" s="2">
        <v>260625</v>
      </c>
      <c r="C42" s="2" t="s">
        <v>34</v>
      </c>
      <c r="D42" s="2" t="s">
        <v>60</v>
      </c>
      <c r="E42" s="2" t="s">
        <v>87</v>
      </c>
      <c r="F42" s="2">
        <v>1.842908051490419</v>
      </c>
      <c r="G42" s="2">
        <v>1.981179111209467</v>
      </c>
      <c r="H42" s="2">
        <v>2.268943717883297</v>
      </c>
      <c r="I42" s="2">
        <v>2.231364979046047</v>
      </c>
      <c r="J42" s="2">
        <v>1.8608082805304491</v>
      </c>
      <c r="K42" s="2">
        <v>1.686813809448436</v>
      </c>
      <c r="L42" s="2">
        <v>1.571444069460594</v>
      </c>
      <c r="M42" s="2">
        <v>1.598702223091937</v>
      </c>
      <c r="N42" s="2"/>
      <c r="O42" s="2"/>
      <c r="P42" s="2"/>
      <c r="Q42" s="2">
        <f t="shared" si="3"/>
        <v>68.718182426095382</v>
      </c>
      <c r="R42" s="2">
        <f t="shared" si="4"/>
        <v>158.37797071450339</v>
      </c>
      <c r="S42" s="2">
        <f t="shared" si="5"/>
        <v>935.74466214497079</v>
      </c>
      <c r="T42" s="2"/>
      <c r="U42" s="2"/>
      <c r="V42" s="2"/>
      <c r="W42" s="2"/>
      <c r="X42" s="2"/>
      <c r="Y42" s="2"/>
      <c r="Z42" s="2"/>
    </row>
    <row r="43" spans="1:26" x14ac:dyDescent="0.2">
      <c r="A43" s="2">
        <v>5</v>
      </c>
      <c r="B43" s="2">
        <v>260625</v>
      </c>
      <c r="C43" s="2" t="s">
        <v>32</v>
      </c>
      <c r="D43" s="2" t="s">
        <v>60</v>
      </c>
      <c r="E43" s="2" t="s">
        <v>88</v>
      </c>
      <c r="F43" s="2">
        <v>2.1291109299473439</v>
      </c>
      <c r="G43" s="2">
        <v>2.2527966567698101</v>
      </c>
      <c r="H43" s="2">
        <v>2.5837246063758501</v>
      </c>
      <c r="I43" s="2">
        <v>2.631182468780449</v>
      </c>
      <c r="J43" s="2">
        <v>2.2145684379788211</v>
      </c>
      <c r="K43" s="2">
        <v>2.0036536284780619</v>
      </c>
      <c r="L43" s="2">
        <v>1.8382983374449029</v>
      </c>
      <c r="M43" s="2">
        <v>1.810143365401889</v>
      </c>
      <c r="N43" s="2"/>
      <c r="O43" s="2"/>
      <c r="P43" s="2"/>
      <c r="Q43" s="2">
        <f t="shared" si="3"/>
        <v>86.819084802351853</v>
      </c>
      <c r="R43" s="2">
        <f t="shared" si="4"/>
        <v>193.51296368811242</v>
      </c>
      <c r="S43" s="2">
        <f t="shared" si="5"/>
        <v>1333.0103028616891</v>
      </c>
      <c r="T43" s="2"/>
      <c r="U43" s="2"/>
      <c r="V43" s="2"/>
      <c r="W43" s="2"/>
      <c r="X43" s="2"/>
      <c r="Y43" s="2"/>
      <c r="Z43" s="2"/>
    </row>
    <row r="44" spans="1:26" x14ac:dyDescent="0.2">
      <c r="A44" s="2">
        <v>6</v>
      </c>
      <c r="B44" s="2">
        <v>260702</v>
      </c>
      <c r="C44" s="2" t="s">
        <v>45</v>
      </c>
      <c r="D44" s="2" t="s">
        <v>60</v>
      </c>
      <c r="E44" s="2" t="s">
        <v>89</v>
      </c>
      <c r="F44" s="2">
        <v>0.80083242333308491</v>
      </c>
      <c r="G44" s="2">
        <v>0.77629980106641061</v>
      </c>
      <c r="H44" s="2">
        <v>0.64967139570189592</v>
      </c>
      <c r="I44" s="2">
        <v>0.51909605348767474</v>
      </c>
      <c r="J44" s="2">
        <v>0.46808309967408368</v>
      </c>
      <c r="K44" s="2">
        <v>0.51766857032790004</v>
      </c>
      <c r="L44" s="2">
        <v>0.62178072756052516</v>
      </c>
      <c r="M44" s="2">
        <v>0.77626817216516475</v>
      </c>
      <c r="N44" s="2">
        <v>3.2</v>
      </c>
      <c r="O44" s="2"/>
      <c r="P44" s="2"/>
      <c r="Q44" s="2">
        <f t="shared" si="3"/>
        <v>17.750760470508101</v>
      </c>
      <c r="R44" s="2">
        <f t="shared" si="4"/>
        <v>22.671954474253297</v>
      </c>
      <c r="S44" s="2">
        <f t="shared" si="5"/>
        <v>49.96448538609102</v>
      </c>
      <c r="T44" s="2"/>
      <c r="U44" s="2"/>
      <c r="V44" s="2"/>
      <c r="W44" s="2"/>
      <c r="X44" s="2"/>
      <c r="Y44" s="2"/>
      <c r="Z44" s="2"/>
    </row>
    <row r="45" spans="1:26" x14ac:dyDescent="0.2">
      <c r="A45" s="2">
        <v>6</v>
      </c>
      <c r="B45" s="2">
        <v>260702</v>
      </c>
      <c r="C45" s="2" t="s">
        <v>90</v>
      </c>
      <c r="D45" s="2" t="s">
        <v>60</v>
      </c>
      <c r="E45" s="2" t="s">
        <v>91</v>
      </c>
      <c r="F45" s="2">
        <v>1.1382613751232991</v>
      </c>
      <c r="G45" s="2">
        <v>1.2382230281469211</v>
      </c>
      <c r="H45" s="2">
        <v>1.138496091180178</v>
      </c>
      <c r="I45" s="2">
        <v>0.96501418532226024</v>
      </c>
      <c r="J45" s="2">
        <v>0.83398570584680465</v>
      </c>
      <c r="K45" s="2">
        <v>0.8580282835981583</v>
      </c>
      <c r="L45" s="2">
        <v>0.94097905044482222</v>
      </c>
      <c r="M45" s="2">
        <v>1.083922843846324</v>
      </c>
      <c r="N45" s="2">
        <v>4.4000000000000004</v>
      </c>
      <c r="O45" s="2"/>
      <c r="P45" s="2"/>
      <c r="Q45" s="2">
        <f t="shared" si="3"/>
        <v>31.450069211419184</v>
      </c>
      <c r="R45" s="2">
        <f t="shared" si="4"/>
        <v>54.462611588059005</v>
      </c>
      <c r="S45" s="2">
        <f t="shared" si="5"/>
        <v>176.79926145558761</v>
      </c>
      <c r="T45" s="2"/>
      <c r="U45" s="2"/>
      <c r="V45" s="2"/>
      <c r="W45" s="2"/>
      <c r="X45" s="2"/>
      <c r="Y45" s="2"/>
      <c r="Z45" s="2"/>
    </row>
    <row r="46" spans="1:26" x14ac:dyDescent="0.2">
      <c r="A46" s="2">
        <v>6</v>
      </c>
      <c r="B46" s="2">
        <v>260702</v>
      </c>
      <c r="C46" s="2" t="s">
        <v>92</v>
      </c>
      <c r="D46" s="2" t="s">
        <v>60</v>
      </c>
      <c r="E46" s="2" t="s">
        <v>93</v>
      </c>
      <c r="F46" s="2">
        <v>1.07132985155036</v>
      </c>
      <c r="G46" s="2">
        <v>0.86676420984823443</v>
      </c>
      <c r="H46" s="2">
        <v>0.71545911604569412</v>
      </c>
      <c r="I46" s="2">
        <v>0.47756338952505151</v>
      </c>
      <c r="J46" s="2">
        <v>0.40520365733439451</v>
      </c>
      <c r="K46" s="2">
        <v>0.45303429251546751</v>
      </c>
      <c r="L46" s="2">
        <v>0.44248589804265182</v>
      </c>
      <c r="M46" s="2">
        <v>0.64243282084938735</v>
      </c>
      <c r="N46" s="2">
        <v>4.4000000000000004</v>
      </c>
      <c r="O46" s="2"/>
      <c r="P46" s="2"/>
      <c r="Q46" s="2">
        <f t="shared" si="3"/>
        <v>28.500859315538612</v>
      </c>
      <c r="R46" s="2">
        <f t="shared" si="4"/>
        <v>26.378639390024453</v>
      </c>
      <c r="S46" s="2">
        <f t="shared" si="5"/>
        <v>35.902012952571454</v>
      </c>
      <c r="T46" s="2"/>
      <c r="U46" s="2"/>
      <c r="V46" s="2"/>
      <c r="W46" s="2"/>
      <c r="X46" s="2"/>
      <c r="Y46" s="2"/>
      <c r="Z46" s="2"/>
    </row>
    <row r="47" spans="1:26" x14ac:dyDescent="0.2">
      <c r="A47" s="2">
        <v>6</v>
      </c>
      <c r="B47" s="2">
        <v>260702</v>
      </c>
      <c r="C47" s="2" t="s">
        <v>49</v>
      </c>
      <c r="D47" s="2" t="s">
        <v>60</v>
      </c>
      <c r="E47" s="2" t="s">
        <v>94</v>
      </c>
      <c r="F47" s="2">
        <v>0.96823317645216167</v>
      </c>
      <c r="G47" s="2">
        <v>1.09026671608051</v>
      </c>
      <c r="H47" s="2">
        <v>1.11130657270973</v>
      </c>
      <c r="I47" s="2">
        <v>0.95483716188975021</v>
      </c>
      <c r="J47" s="2">
        <v>0.75604128478518406</v>
      </c>
      <c r="K47" s="2">
        <v>0.76064079832369469</v>
      </c>
      <c r="L47" s="2">
        <v>0.83886274394078186</v>
      </c>
      <c r="M47" s="2">
        <v>0.94154776435506138</v>
      </c>
      <c r="N47" s="2">
        <v>13.87</v>
      </c>
      <c r="O47" s="2"/>
      <c r="P47" s="2"/>
      <c r="Q47" s="2">
        <f t="shared" si="3"/>
        <v>24.177634181080052</v>
      </c>
      <c r="R47" s="2">
        <f t="shared" si="4"/>
        <v>52.454059449113942</v>
      </c>
      <c r="S47" s="2">
        <f t="shared" si="5"/>
        <v>143.38104941532225</v>
      </c>
      <c r="T47" s="2"/>
      <c r="U47" s="2"/>
      <c r="V47" s="2"/>
      <c r="W47" s="2"/>
      <c r="X47" s="2"/>
      <c r="Y47" s="2"/>
      <c r="Z47" s="2"/>
    </row>
    <row r="48" spans="1:26" x14ac:dyDescent="0.2">
      <c r="A48" s="2">
        <v>6</v>
      </c>
      <c r="B48" s="2">
        <v>260702</v>
      </c>
      <c r="C48" s="2" t="s">
        <v>51</v>
      </c>
      <c r="D48" s="2" t="s">
        <v>60</v>
      </c>
      <c r="E48" s="2" t="s">
        <v>95</v>
      </c>
      <c r="F48" s="2">
        <v>0.89664048984035882</v>
      </c>
      <c r="G48" s="2">
        <v>1.2491549145688301</v>
      </c>
      <c r="H48" s="2">
        <v>1.1862093585381781</v>
      </c>
      <c r="I48" s="2">
        <v>0.85152131817626897</v>
      </c>
      <c r="J48" s="2">
        <v>0.53457978506486148</v>
      </c>
      <c r="K48" s="2">
        <v>0.4597012283844184</v>
      </c>
      <c r="L48" s="2">
        <v>0.46504709381146397</v>
      </c>
      <c r="M48" s="2">
        <v>0.60320300594535736</v>
      </c>
      <c r="N48" s="2">
        <v>26.2</v>
      </c>
      <c r="O48" s="2"/>
      <c r="P48" s="2"/>
      <c r="Q48" s="2">
        <f t="shared" si="3"/>
        <v>21.337030815694803</v>
      </c>
      <c r="R48" s="2">
        <f t="shared" si="4"/>
        <v>58.050084746646462</v>
      </c>
      <c r="S48" s="2">
        <f t="shared" si="5"/>
        <v>67.317563403577381</v>
      </c>
      <c r="T48" s="2"/>
      <c r="U48" s="2"/>
      <c r="V48" s="2"/>
      <c r="W48" s="2"/>
      <c r="X48" s="2"/>
      <c r="Y48" s="2"/>
      <c r="Z48" s="2"/>
    </row>
    <row r="49" spans="1:26" x14ac:dyDescent="0.2">
      <c r="A49" s="2">
        <v>6</v>
      </c>
      <c r="B49" s="2">
        <v>260702</v>
      </c>
      <c r="C49" s="2" t="s">
        <v>53</v>
      </c>
      <c r="D49" s="2" t="s">
        <v>60</v>
      </c>
      <c r="E49" s="2" t="s">
        <v>96</v>
      </c>
      <c r="F49" s="2">
        <v>1.8962583775864881</v>
      </c>
      <c r="G49" s="2">
        <v>2.0274812721135538</v>
      </c>
      <c r="H49" s="2">
        <v>2.2888427612228619</v>
      </c>
      <c r="I49" s="2">
        <v>2.160768452560649</v>
      </c>
      <c r="J49" s="2">
        <v>1.688790288943764</v>
      </c>
      <c r="K49" s="2">
        <v>1.5413390151296611</v>
      </c>
      <c r="L49" s="2">
        <v>1.4714284070845001</v>
      </c>
      <c r="M49" s="2">
        <v>1.5613284422134339</v>
      </c>
      <c r="N49" s="2">
        <v>38.729999999999997</v>
      </c>
      <c r="O49" s="2"/>
      <c r="P49" s="2"/>
      <c r="Q49" s="2">
        <f t="shared" si="3"/>
        <v>71.96977378278109</v>
      </c>
      <c r="R49" s="2">
        <f t="shared" si="4"/>
        <v>160.52611252114593</v>
      </c>
      <c r="S49" s="2">
        <f t="shared" si="5"/>
        <v>767.59143151502008</v>
      </c>
      <c r="T49" s="2"/>
      <c r="U49" s="2"/>
      <c r="V49" s="2"/>
      <c r="W49" s="2"/>
      <c r="X49" s="2"/>
      <c r="Y49" s="2"/>
      <c r="Z49" s="2"/>
    </row>
    <row r="50" spans="1:26" x14ac:dyDescent="0.2">
      <c r="A50" s="2">
        <v>6</v>
      </c>
      <c r="B50" s="2">
        <v>260702</v>
      </c>
      <c r="C50" s="2" t="s">
        <v>85</v>
      </c>
      <c r="D50" s="2" t="s">
        <v>60</v>
      </c>
      <c r="E50" s="2" t="s">
        <v>97</v>
      </c>
      <c r="F50" s="2">
        <v>1.4388291888522089</v>
      </c>
      <c r="G50" s="2">
        <v>1.585774281567635</v>
      </c>
      <c r="H50" s="2">
        <v>1.770823299093581</v>
      </c>
      <c r="I50" s="2">
        <v>1.6869695088871171</v>
      </c>
      <c r="J50" s="2">
        <v>1.337404957179251</v>
      </c>
      <c r="K50" s="2">
        <v>1.2414644231645089</v>
      </c>
      <c r="L50" s="2">
        <v>1.269211537086828</v>
      </c>
      <c r="M50" s="2">
        <v>1.382312125938526</v>
      </c>
      <c r="N50" s="2">
        <v>25</v>
      </c>
      <c r="O50" s="2"/>
      <c r="P50" s="2"/>
      <c r="Q50" s="2">
        <f t="shared" si="3"/>
        <v>46.006033316392752</v>
      </c>
      <c r="R50" s="2">
        <f t="shared" si="4"/>
        <v>108.00325903729895</v>
      </c>
      <c r="S50" s="2">
        <f t="shared" si="5"/>
        <v>475.21976302020278</v>
      </c>
      <c r="T50" s="2"/>
      <c r="U50" s="2"/>
      <c r="V50" s="2"/>
      <c r="W50" s="2"/>
      <c r="X50" s="2"/>
      <c r="Y50" s="2"/>
      <c r="Z50" s="2"/>
    </row>
    <row r="51" spans="1:26" x14ac:dyDescent="0.2">
      <c r="A51" s="2">
        <v>6</v>
      </c>
      <c r="B51" s="2">
        <v>260702</v>
      </c>
      <c r="C51" s="2" t="s">
        <v>34</v>
      </c>
      <c r="D51" s="2" t="s">
        <v>60</v>
      </c>
      <c r="E51" s="2" t="s">
        <v>98</v>
      </c>
      <c r="F51" s="2">
        <v>1.5649180928640569</v>
      </c>
      <c r="G51" s="2">
        <v>1.69125941498699</v>
      </c>
      <c r="H51" s="2">
        <v>1.9295176811513679</v>
      </c>
      <c r="I51" s="2">
        <v>1.826715413509129</v>
      </c>
      <c r="J51" s="2">
        <v>1.471258936727595</v>
      </c>
      <c r="K51" s="2">
        <v>1.341904601040371</v>
      </c>
      <c r="L51" s="2">
        <v>1.295375658957904</v>
      </c>
      <c r="M51" s="2">
        <v>1.3694687052982151</v>
      </c>
      <c r="N51" s="2">
        <v>17.2</v>
      </c>
      <c r="O51" s="2"/>
      <c r="P51" s="2"/>
      <c r="Q51" s="2">
        <f t="shared" si="3"/>
        <v>52.720507276382996</v>
      </c>
      <c r="R51" s="2">
        <f t="shared" si="4"/>
        <v>123.32284879820935</v>
      </c>
      <c r="S51" s="2">
        <f t="shared" si="5"/>
        <v>578.48136794073127</v>
      </c>
      <c r="T51" s="2"/>
      <c r="U51" s="2"/>
      <c r="V51" s="2"/>
      <c r="W51" s="2"/>
      <c r="X51" s="2"/>
      <c r="Y51" s="2"/>
      <c r="Z51" s="2"/>
    </row>
    <row r="52" spans="1:26" x14ac:dyDescent="0.2">
      <c r="A52" s="2">
        <v>6</v>
      </c>
      <c r="B52" s="2">
        <v>260702</v>
      </c>
      <c r="C52" s="2" t="s">
        <v>32</v>
      </c>
      <c r="D52" s="2" t="s">
        <v>60</v>
      </c>
      <c r="E52" s="2" t="s">
        <v>99</v>
      </c>
      <c r="F52" s="2">
        <v>1.651540844176612</v>
      </c>
      <c r="G52" s="2">
        <v>1.7859760363330841</v>
      </c>
      <c r="H52" s="2">
        <v>2.046347939557462</v>
      </c>
      <c r="I52" s="2">
        <v>1.991348701509984</v>
      </c>
      <c r="J52" s="2">
        <v>1.6585348195328919</v>
      </c>
      <c r="K52" s="2">
        <v>1.5336594224567759</v>
      </c>
      <c r="L52" s="2">
        <v>1.503887446985654</v>
      </c>
      <c r="M52" s="2">
        <v>1.574867081273766</v>
      </c>
      <c r="N52" s="2">
        <v>22.13</v>
      </c>
      <c r="O52" s="2"/>
      <c r="P52" s="2"/>
      <c r="Q52" s="2">
        <f t="shared" si="3"/>
        <v>57.53220664914106</v>
      </c>
      <c r="R52" s="2">
        <f t="shared" si="4"/>
        <v>135.04440086576739</v>
      </c>
      <c r="S52" s="2">
        <f t="shared" si="5"/>
        <v>739.71352129098125</v>
      </c>
      <c r="T52" s="2"/>
      <c r="U52" s="2"/>
      <c r="V52" s="2"/>
      <c r="W52" s="2"/>
      <c r="X52" s="2"/>
      <c r="Y52" s="2"/>
      <c r="Z52" s="2"/>
    </row>
    <row r="53" spans="1:26" x14ac:dyDescent="0.2">
      <c r="A53" s="2">
        <v>7</v>
      </c>
      <c r="B53" s="2">
        <v>260709</v>
      </c>
      <c r="C53" s="2" t="s">
        <v>36</v>
      </c>
      <c r="D53" s="2" t="s">
        <v>60</v>
      </c>
      <c r="E53" s="2" t="s">
        <v>100</v>
      </c>
      <c r="F53" s="2">
        <v>2.2083620722033328</v>
      </c>
      <c r="G53" s="2">
        <v>2.394585108534895</v>
      </c>
      <c r="H53" s="2">
        <v>2.8070810270341848</v>
      </c>
      <c r="I53" s="2">
        <v>2.8195450245925571</v>
      </c>
      <c r="J53" s="2">
        <v>2.353265853077926</v>
      </c>
      <c r="K53" s="2">
        <v>2.107768947901683</v>
      </c>
      <c r="L53" s="2">
        <v>1.881072145183954</v>
      </c>
      <c r="M53" s="2">
        <v>1.7487242579332249</v>
      </c>
      <c r="N53" s="2">
        <v>6.27</v>
      </c>
      <c r="O53" s="2"/>
      <c r="P53" s="2"/>
      <c r="Q53" s="2">
        <f t="shared" si="3"/>
        <v>92.111383129323599</v>
      </c>
      <c r="R53" s="2">
        <f t="shared" si="4"/>
        <v>219.88935483422526</v>
      </c>
      <c r="S53" s="2">
        <f t="shared" si="5"/>
        <v>1507.6006425280416</v>
      </c>
      <c r="T53" s="2"/>
      <c r="U53" s="2"/>
      <c r="V53" s="2"/>
      <c r="W53" s="2"/>
      <c r="X53" s="2"/>
      <c r="Y53" s="2"/>
      <c r="Z53" s="2"/>
    </row>
    <row r="54" spans="1:26" x14ac:dyDescent="0.2">
      <c r="A54" s="2">
        <v>7</v>
      </c>
      <c r="B54" s="2">
        <v>260709</v>
      </c>
      <c r="C54" s="2" t="s">
        <v>19</v>
      </c>
      <c r="D54" s="2" t="s">
        <v>60</v>
      </c>
      <c r="E54" s="2" t="s">
        <v>101</v>
      </c>
      <c r="F54" s="2">
        <v>1.616691803104233</v>
      </c>
      <c r="G54" s="2">
        <v>1.732868295010638</v>
      </c>
      <c r="H54" s="2">
        <v>1.9758362254376609</v>
      </c>
      <c r="I54" s="2">
        <v>1.9622827705538619</v>
      </c>
      <c r="J54" s="2">
        <v>1.629164386341206</v>
      </c>
      <c r="K54" s="2">
        <v>1.5593192363863091</v>
      </c>
      <c r="L54" s="2">
        <v>1.5524028302828961</v>
      </c>
      <c r="M54" s="2">
        <v>1.5786385354983941</v>
      </c>
      <c r="N54" s="2">
        <v>23.47</v>
      </c>
      <c r="O54" s="2"/>
      <c r="P54" s="2"/>
      <c r="Q54" s="2">
        <f t="shared" si="3"/>
        <v>55.577232077621382</v>
      </c>
      <c r="R54" s="2">
        <f t="shared" si="4"/>
        <v>127.92574718324371</v>
      </c>
      <c r="S54" s="2">
        <f t="shared" si="5"/>
        <v>713.13756395719736</v>
      </c>
      <c r="T54" s="2"/>
      <c r="U54" s="2"/>
      <c r="V54" s="2"/>
      <c r="W54" s="2"/>
      <c r="X54" s="2"/>
      <c r="Y54" s="2"/>
      <c r="Z54" s="2"/>
    </row>
    <row r="55" spans="1:26" x14ac:dyDescent="0.2">
      <c r="A55" s="2">
        <v>7</v>
      </c>
      <c r="B55" s="2">
        <v>260709</v>
      </c>
      <c r="C55" s="2" t="s">
        <v>22</v>
      </c>
      <c r="D55" s="2" t="s">
        <v>60</v>
      </c>
      <c r="E55" s="2" t="s">
        <v>102</v>
      </c>
      <c r="F55" s="2">
        <v>2.1396969951468559</v>
      </c>
      <c r="G55" s="2">
        <v>2.36732110994111</v>
      </c>
      <c r="H55" s="2">
        <v>2.6892171784588572</v>
      </c>
      <c r="I55" s="2">
        <v>2.69241423710718</v>
      </c>
      <c r="J55" s="2">
        <v>2.323573102004076</v>
      </c>
      <c r="K55" s="2">
        <v>2.1552579653516428</v>
      </c>
      <c r="L55" s="2">
        <v>1.976452362378224</v>
      </c>
      <c r="M55" s="2">
        <v>1.9765468477790979</v>
      </c>
      <c r="N55" s="2">
        <v>8.5500000000000007</v>
      </c>
      <c r="O55" s="2"/>
      <c r="P55" s="2"/>
      <c r="Q55" s="2">
        <f t="shared" si="3"/>
        <v>87.51911048196294</v>
      </c>
      <c r="R55" s="2">
        <f t="shared" si="4"/>
        <v>205.82491418531464</v>
      </c>
      <c r="S55" s="2">
        <f t="shared" si="5"/>
        <v>1469.3330429630157</v>
      </c>
      <c r="T55" s="2"/>
      <c r="U55" s="2"/>
      <c r="V55" s="2"/>
      <c r="W55" s="2"/>
      <c r="X55" s="2"/>
      <c r="Y55" s="2"/>
      <c r="Z55" s="2"/>
    </row>
    <row r="56" spans="1:26" x14ac:dyDescent="0.2">
      <c r="A56" s="2">
        <v>7</v>
      </c>
      <c r="B56" s="2">
        <v>260709</v>
      </c>
      <c r="C56" s="2" t="s">
        <v>24</v>
      </c>
      <c r="D56" s="2" t="s">
        <v>60</v>
      </c>
      <c r="E56" s="2" t="s">
        <v>103</v>
      </c>
      <c r="F56" s="2">
        <v>2.7319669844925252</v>
      </c>
      <c r="G56" s="2">
        <v>2.7842059388833</v>
      </c>
      <c r="H56" s="2">
        <v>3.0739657773590112</v>
      </c>
      <c r="I56" s="2">
        <v>3.3861744348628142</v>
      </c>
      <c r="J56" s="2">
        <v>2.9964109010298392</v>
      </c>
      <c r="K56" s="2">
        <v>2.7644335127427531</v>
      </c>
      <c r="L56" s="2">
        <v>2.4344030698520909</v>
      </c>
      <c r="M56" s="2">
        <v>2.2063743599406429</v>
      </c>
      <c r="N56" s="2">
        <v>3.23</v>
      </c>
      <c r="O56" s="2"/>
      <c r="P56" s="2"/>
      <c r="Q56" s="2">
        <f t="shared" si="3"/>
        <v>129.97555236474241</v>
      </c>
      <c r="R56" s="2">
        <f t="shared" si="4"/>
        <v>252.9072787163847</v>
      </c>
      <c r="S56" s="2">
        <f t="shared" si="5"/>
        <v>2455.2170225985633</v>
      </c>
      <c r="T56" s="2"/>
      <c r="U56" s="2"/>
      <c r="V56" s="2"/>
      <c r="W56" s="2"/>
      <c r="X56" s="2"/>
      <c r="Y56" s="2"/>
      <c r="Z56" s="2"/>
    </row>
    <row r="57" spans="1:26" x14ac:dyDescent="0.2">
      <c r="A57" s="2">
        <v>7</v>
      </c>
      <c r="B57" s="2">
        <v>260709</v>
      </c>
      <c r="C57" s="2" t="s">
        <v>70</v>
      </c>
      <c r="D57" s="2" t="s">
        <v>60</v>
      </c>
      <c r="E57" s="2" t="s">
        <v>104</v>
      </c>
      <c r="F57" s="2">
        <v>2.532287296186134</v>
      </c>
      <c r="G57" s="2">
        <v>2.3309519539476309</v>
      </c>
      <c r="H57" s="2">
        <v>2.2750762685754111</v>
      </c>
      <c r="I57" s="2">
        <v>3.1960045540577968</v>
      </c>
      <c r="J57" s="2">
        <v>2.9540127519716468</v>
      </c>
      <c r="K57" s="2">
        <v>2.6524947461602761</v>
      </c>
      <c r="L57" s="2">
        <v>2.4550046064168711</v>
      </c>
      <c r="M57" s="2">
        <v>2.2996618878048838</v>
      </c>
      <c r="N57" s="2">
        <v>3.73</v>
      </c>
      <c r="O57" s="2"/>
      <c r="P57" s="2"/>
      <c r="Q57" s="2">
        <f t="shared" si="3"/>
        <v>114.9547657185641</v>
      </c>
      <c r="R57" s="2">
        <f t="shared" si="4"/>
        <v>159.03892078964233</v>
      </c>
      <c r="S57" s="2">
        <f t="shared" si="5"/>
        <v>2385.7737923373843</v>
      </c>
      <c r="T57" s="2"/>
      <c r="U57" s="2"/>
      <c r="V57" s="2"/>
      <c r="W57" s="2"/>
      <c r="X57" s="2"/>
      <c r="Y57" s="2"/>
      <c r="Z57" s="2"/>
    </row>
    <row r="58" spans="1:26" x14ac:dyDescent="0.2">
      <c r="A58" s="2">
        <v>7</v>
      </c>
      <c r="B58" s="2">
        <v>260709</v>
      </c>
      <c r="C58" s="2" t="s">
        <v>72</v>
      </c>
      <c r="D58" s="2" t="s">
        <v>60</v>
      </c>
      <c r="E58" s="2" t="s">
        <v>105</v>
      </c>
      <c r="F58" s="2">
        <v>2.6837641169947881</v>
      </c>
      <c r="G58" s="2">
        <v>2.791192641599451</v>
      </c>
      <c r="H58" s="2">
        <v>3.0858004051169292</v>
      </c>
      <c r="I58" s="2">
        <v>3.421778808003372</v>
      </c>
      <c r="J58" s="2">
        <v>3.1264682351903641</v>
      </c>
      <c r="K58" s="2">
        <v>2.850997413121628</v>
      </c>
      <c r="L58" s="2">
        <v>2.511538405697582</v>
      </c>
      <c r="M58" s="2">
        <v>2.2609411957009509</v>
      </c>
      <c r="N58" s="2">
        <v>3.73</v>
      </c>
      <c r="O58" s="2"/>
      <c r="P58" s="2"/>
      <c r="Q58" s="2">
        <f t="shared" si="3"/>
        <v>126.28550470894633</v>
      </c>
      <c r="R58" s="2">
        <f t="shared" si="4"/>
        <v>254.40823561461633</v>
      </c>
      <c r="S58" s="2">
        <f t="shared" si="5"/>
        <v>2674.3608164940042</v>
      </c>
      <c r="T58" s="2"/>
      <c r="U58" s="2"/>
      <c r="V58" s="2"/>
      <c r="W58" s="2"/>
      <c r="X58" s="2"/>
      <c r="Y58" s="2"/>
      <c r="Z58" s="2"/>
    </row>
    <row r="59" spans="1:26" x14ac:dyDescent="0.2">
      <c r="A59" s="2">
        <v>7</v>
      </c>
      <c r="B59" s="2">
        <v>260709</v>
      </c>
      <c r="C59" s="2" t="s">
        <v>43</v>
      </c>
      <c r="D59" s="2" t="s">
        <v>60</v>
      </c>
      <c r="E59" s="2" t="s">
        <v>106</v>
      </c>
      <c r="F59" s="2">
        <v>3.5483665996301532</v>
      </c>
      <c r="G59" s="2">
        <v>3.2294495042023001</v>
      </c>
      <c r="H59" s="2">
        <v>3.2546471616845478</v>
      </c>
      <c r="I59" s="2">
        <v>4.2963347451852956</v>
      </c>
      <c r="J59" s="2">
        <v>3.9483861372723892</v>
      </c>
      <c r="K59" s="2">
        <v>3.5408584508338108</v>
      </c>
      <c r="L59" s="2">
        <v>3.053078309393455</v>
      </c>
      <c r="M59" s="2">
        <v>3.0009429397016851</v>
      </c>
      <c r="N59" s="2">
        <v>6.53</v>
      </c>
      <c r="O59" s="2"/>
      <c r="P59" s="2"/>
      <c r="Q59" s="2">
        <f t="shared" si="3"/>
        <v>198.38569813798463</v>
      </c>
      <c r="R59" s="2">
        <f t="shared" si="4"/>
        <v>276.15547317130756</v>
      </c>
      <c r="S59" s="2">
        <f t="shared" si="5"/>
        <v>4272.3353580191824</v>
      </c>
      <c r="T59" s="2"/>
      <c r="U59" s="2"/>
      <c r="V59" s="2"/>
      <c r="W59" s="2"/>
      <c r="X59" s="2"/>
      <c r="Y59" s="2"/>
      <c r="Z59" s="2"/>
    </row>
    <row r="60" spans="1:26" x14ac:dyDescent="0.2">
      <c r="A60" s="2">
        <v>8</v>
      </c>
      <c r="B60" s="2">
        <v>260716</v>
      </c>
      <c r="C60" s="2" t="s">
        <v>45</v>
      </c>
      <c r="D60" s="2" t="s">
        <v>60</v>
      </c>
      <c r="E60" s="2" t="s">
        <v>107</v>
      </c>
      <c r="F60" s="2">
        <v>0.96400626650895083</v>
      </c>
      <c r="G60" s="2">
        <v>1.033298674912335</v>
      </c>
      <c r="H60" s="2">
        <v>0.89616095324315836</v>
      </c>
      <c r="I60" s="2">
        <v>0.7712972831468573</v>
      </c>
      <c r="J60" s="2">
        <v>0.66964952538092914</v>
      </c>
      <c r="K60" s="2">
        <v>0.7153711923058802</v>
      </c>
      <c r="L60" s="2">
        <v>0.83572603242458587</v>
      </c>
      <c r="M60" s="2">
        <v>0.97023108228964783</v>
      </c>
      <c r="N60" s="2"/>
      <c r="O60" s="2"/>
      <c r="P60" s="2"/>
      <c r="Q60" s="2">
        <f t="shared" si="3"/>
        <v>24.006191084636569</v>
      </c>
      <c r="R60" s="2">
        <f t="shared" si="4"/>
        <v>37.516796783409191</v>
      </c>
      <c r="S60" s="2">
        <f t="shared" si="5"/>
        <v>110.37710864908573</v>
      </c>
      <c r="T60" s="2"/>
      <c r="U60" s="2"/>
      <c r="V60" s="2"/>
      <c r="W60" s="2"/>
      <c r="X60" s="2"/>
      <c r="Y60" s="2"/>
      <c r="Z60" s="2"/>
    </row>
    <row r="61" spans="1:26" x14ac:dyDescent="0.2">
      <c r="A61" s="2">
        <v>8</v>
      </c>
      <c r="B61" s="2">
        <v>260716</v>
      </c>
      <c r="C61" s="2" t="s">
        <v>47</v>
      </c>
      <c r="D61" s="2" t="s">
        <v>60</v>
      </c>
      <c r="E61" s="2" t="s">
        <v>108</v>
      </c>
      <c r="F61" s="2">
        <v>0.90535991107929559</v>
      </c>
      <c r="G61" s="2">
        <v>0.96402971135491811</v>
      </c>
      <c r="H61" s="2">
        <v>0.80928720644669616</v>
      </c>
      <c r="I61" s="2">
        <v>0.65005905791940288</v>
      </c>
      <c r="J61" s="2">
        <v>0.52330084923514963</v>
      </c>
      <c r="K61" s="2">
        <v>0.54730500095099321</v>
      </c>
      <c r="L61" s="2">
        <v>0.63283201848864357</v>
      </c>
      <c r="M61" s="2">
        <v>0.75987511233437222</v>
      </c>
      <c r="N61" s="2"/>
      <c r="O61" s="2"/>
      <c r="P61" s="2"/>
      <c r="Q61" s="2">
        <f t="shared" si="3"/>
        <v>21.675752065347954</v>
      </c>
      <c r="R61" s="2">
        <f t="shared" si="4"/>
        <v>31.992719405655095</v>
      </c>
      <c r="S61" s="2">
        <f t="shared" si="5"/>
        <v>64.195006670131704</v>
      </c>
      <c r="T61" s="2"/>
      <c r="U61" s="2"/>
      <c r="V61" s="2"/>
      <c r="W61" s="2"/>
      <c r="X61" s="2"/>
      <c r="Y61" s="2"/>
      <c r="Z61" s="2"/>
    </row>
    <row r="62" spans="1:26" x14ac:dyDescent="0.2">
      <c r="A62" s="2">
        <v>8</v>
      </c>
      <c r="B62" s="2">
        <v>260716</v>
      </c>
      <c r="C62" s="2" t="s">
        <v>49</v>
      </c>
      <c r="D62" s="2" t="s">
        <v>60</v>
      </c>
      <c r="E62" s="2" t="s">
        <v>109</v>
      </c>
      <c r="F62" s="2">
        <v>0.75654358859370152</v>
      </c>
      <c r="G62" s="2">
        <v>0.96656187197446763</v>
      </c>
      <c r="H62" s="2">
        <v>0.82728776351855327</v>
      </c>
      <c r="I62" s="2">
        <v>0.60976158250023627</v>
      </c>
      <c r="J62" s="2">
        <v>0.44436362732077939</v>
      </c>
      <c r="K62" s="2">
        <v>0.41580427642276618</v>
      </c>
      <c r="L62" s="2">
        <v>0.46450929601349322</v>
      </c>
      <c r="M62" s="2">
        <v>0.55929568978374722</v>
      </c>
      <c r="N62" s="2"/>
      <c r="O62" s="2"/>
      <c r="P62" s="2"/>
      <c r="Q62" s="2">
        <f t="shared" si="3"/>
        <v>16.17890464429097</v>
      </c>
      <c r="R62" s="2">
        <f t="shared" si="4"/>
        <v>33.112139301842063</v>
      </c>
      <c r="S62" s="2">
        <f t="shared" si="5"/>
        <v>44.391328658421486</v>
      </c>
      <c r="T62" s="2"/>
      <c r="U62" s="2"/>
      <c r="V62" s="2"/>
      <c r="W62" s="2"/>
      <c r="X62" s="2"/>
      <c r="Y62" s="2"/>
      <c r="Z62" s="2"/>
    </row>
    <row r="63" spans="1:26" x14ac:dyDescent="0.2">
      <c r="A63" s="2">
        <v>8</v>
      </c>
      <c r="B63" s="2">
        <v>260716</v>
      </c>
      <c r="C63" s="2" t="s">
        <v>51</v>
      </c>
      <c r="D63" s="2" t="s">
        <v>60</v>
      </c>
      <c r="E63" s="2" t="s">
        <v>110</v>
      </c>
      <c r="F63" s="2">
        <v>1.625494116472614</v>
      </c>
      <c r="G63" s="2">
        <v>1.8925260110209901</v>
      </c>
      <c r="H63" s="2">
        <v>1.9858873335886731</v>
      </c>
      <c r="I63" s="2">
        <v>1.718202490916344</v>
      </c>
      <c r="J63" s="2">
        <v>1.4032939954692449</v>
      </c>
      <c r="K63" s="2">
        <v>1.3038340762947409</v>
      </c>
      <c r="L63" s="2">
        <v>1.323874385738067</v>
      </c>
      <c r="M63" s="2">
        <v>1.437125126163006</v>
      </c>
      <c r="N63" s="2"/>
      <c r="O63" s="2"/>
      <c r="P63" s="2"/>
      <c r="Q63" s="2">
        <f t="shared" si="3"/>
        <v>56.068601067145224</v>
      </c>
      <c r="R63" s="2">
        <f t="shared" si="4"/>
        <v>128.93228428977943</v>
      </c>
      <c r="S63" s="2">
        <f t="shared" si="5"/>
        <v>524.79989619293519</v>
      </c>
      <c r="T63" s="2"/>
      <c r="U63" s="2"/>
      <c r="V63" s="2"/>
      <c r="W63" s="2"/>
      <c r="X63" s="2"/>
      <c r="Y63" s="2"/>
      <c r="Z63" s="2"/>
    </row>
    <row r="64" spans="1:26" x14ac:dyDescent="0.2">
      <c r="A64" s="2">
        <v>8</v>
      </c>
      <c r="B64" s="2">
        <v>260716</v>
      </c>
      <c r="C64" s="2" t="s">
        <v>53</v>
      </c>
      <c r="D64" s="2" t="s">
        <v>60</v>
      </c>
      <c r="E64" s="2" t="s">
        <v>111</v>
      </c>
      <c r="F64" s="2">
        <v>1.824304231025716</v>
      </c>
      <c r="G64" s="2">
        <v>1.676289194593062</v>
      </c>
      <c r="H64" s="2">
        <v>2.031593565246165</v>
      </c>
      <c r="I64" s="2">
        <v>2.1076382994098881</v>
      </c>
      <c r="J64" s="2">
        <v>1.8203568030582711</v>
      </c>
      <c r="K64" s="2">
        <v>1.6663062920380269</v>
      </c>
      <c r="L64" s="2">
        <v>1.628921802794058</v>
      </c>
      <c r="M64" s="2">
        <v>1.677271103630773</v>
      </c>
      <c r="N64" s="2"/>
      <c r="O64" s="2"/>
      <c r="P64" s="2"/>
      <c r="Q64" s="2">
        <f t="shared" si="3"/>
        <v>67.59779683723842</v>
      </c>
      <c r="R64" s="2">
        <f t="shared" si="4"/>
        <v>133.54379140353856</v>
      </c>
      <c r="S64" s="2">
        <f t="shared" si="5"/>
        <v>894.72684275321637</v>
      </c>
      <c r="T64" s="2"/>
      <c r="U64" s="2"/>
      <c r="V64" s="2"/>
      <c r="W64" s="2"/>
      <c r="X64" s="2"/>
      <c r="Y64" s="2"/>
      <c r="Z64" s="2"/>
    </row>
    <row r="65" spans="1:26" x14ac:dyDescent="0.2">
      <c r="A65" s="2">
        <v>8</v>
      </c>
      <c r="B65" s="2">
        <v>260716</v>
      </c>
      <c r="C65" s="2" t="s">
        <v>85</v>
      </c>
      <c r="D65" s="2" t="s">
        <v>60</v>
      </c>
      <c r="E65" s="2" t="s">
        <v>112</v>
      </c>
      <c r="F65" s="2">
        <v>1.69020922130079</v>
      </c>
      <c r="G65" s="2">
        <v>1.5986260696127119</v>
      </c>
      <c r="H65" s="2">
        <v>1.964677862760861</v>
      </c>
      <c r="I65" s="2">
        <v>1.8128827311083779</v>
      </c>
      <c r="J65" s="2">
        <v>1.486233682306348</v>
      </c>
      <c r="K65" s="2">
        <v>1.3737069271546549</v>
      </c>
      <c r="L65" s="2">
        <v>1.381718371308116</v>
      </c>
      <c r="M65" s="2">
        <v>1.462564600557122</v>
      </c>
      <c r="N65" s="2"/>
      <c r="O65" s="2"/>
      <c r="P65" s="2"/>
      <c r="Q65" s="2">
        <f t="shared" si="3"/>
        <v>59.731373676652133</v>
      </c>
      <c r="R65" s="2">
        <f t="shared" si="4"/>
        <v>126.81153883084878</v>
      </c>
      <c r="S65" s="2">
        <f t="shared" si="5"/>
        <v>590.65535007692733</v>
      </c>
      <c r="T65" s="2"/>
      <c r="U65" s="2"/>
      <c r="V65" s="2"/>
      <c r="W65" s="2"/>
      <c r="X65" s="2"/>
      <c r="Y65" s="2"/>
      <c r="Z65" s="2"/>
    </row>
    <row r="66" spans="1:26" x14ac:dyDescent="0.2">
      <c r="A66" s="2">
        <v>8</v>
      </c>
      <c r="B66" s="2">
        <v>260716</v>
      </c>
      <c r="C66" s="2" t="s">
        <v>36</v>
      </c>
      <c r="D66" s="2" t="s">
        <v>60</v>
      </c>
      <c r="E66" s="2" t="s">
        <v>113</v>
      </c>
      <c r="F66" s="2">
        <v>2.1500323562019279</v>
      </c>
      <c r="G66" s="2">
        <v>2.091634988864878</v>
      </c>
      <c r="H66" s="2">
        <v>2.5452583503398989</v>
      </c>
      <c r="I66" s="2">
        <v>2.5300997500109088</v>
      </c>
      <c r="J66" s="2">
        <v>2.2155019109514642</v>
      </c>
      <c r="K66" s="2">
        <v>2.0386293538779521</v>
      </c>
      <c r="L66" s="2">
        <v>1.931542872429447</v>
      </c>
      <c r="M66" s="2">
        <v>1.9340770238623139</v>
      </c>
      <c r="N66" s="2"/>
      <c r="O66" s="2"/>
      <c r="P66" s="2"/>
      <c r="Q66" s="2">
        <f t="shared" ref="Q66:Q97" si="6">((F66- 0.00793) / 0.1333)^(1/0.6199)</f>
        <v>88.20461737470238</v>
      </c>
      <c r="R66" s="2">
        <f t="shared" ref="R66:R97" si="7">((H66- 0.0166) / 0.0825)^(1/0.6529)</f>
        <v>189.08953502941452</v>
      </c>
      <c r="S66" s="2">
        <f t="shared" ref="S66:S97" si="8">((J66- 0.06053) / 0.0561)^(1/0.507)</f>
        <v>1334.1499367114975</v>
      </c>
      <c r="T66" s="2"/>
      <c r="U66" s="2"/>
      <c r="V66" s="2"/>
      <c r="W66" s="2"/>
      <c r="X66" s="2"/>
      <c r="Y66" s="2"/>
      <c r="Z66" s="2"/>
    </row>
    <row r="67" spans="1:26" x14ac:dyDescent="0.2">
      <c r="A67" s="2">
        <v>9</v>
      </c>
      <c r="B67" s="2">
        <v>260728</v>
      </c>
      <c r="C67" s="2" t="s">
        <v>19</v>
      </c>
      <c r="D67" s="2" t="s">
        <v>60</v>
      </c>
      <c r="E67" s="2" t="s">
        <v>114</v>
      </c>
      <c r="F67" s="2">
        <v>2.163168821530931</v>
      </c>
      <c r="G67" s="2">
        <v>2.3658575199260179</v>
      </c>
      <c r="H67" s="2">
        <v>2.638620020070563</v>
      </c>
      <c r="I67" s="2">
        <v>2.6228776654854609</v>
      </c>
      <c r="J67" s="2">
        <v>2.1452357523931722</v>
      </c>
      <c r="K67" s="2">
        <v>1.8817142601176391</v>
      </c>
      <c r="L67" s="2">
        <v>1.674046133577445</v>
      </c>
      <c r="M67" s="2">
        <v>1.6035463130626759</v>
      </c>
      <c r="N67" s="2"/>
      <c r="O67" s="2"/>
      <c r="P67" s="2"/>
      <c r="Q67" s="2">
        <f t="shared" si="6"/>
        <v>89.078842135934536</v>
      </c>
      <c r="R67" s="2">
        <f t="shared" si="7"/>
        <v>199.88687463199653</v>
      </c>
      <c r="S67" s="2">
        <f t="shared" si="8"/>
        <v>1249.7078222054333</v>
      </c>
      <c r="T67" s="2"/>
      <c r="U67" s="2"/>
      <c r="V67" s="2"/>
      <c r="W67" s="2"/>
      <c r="X67" s="2"/>
      <c r="Y67" s="2"/>
      <c r="Z67" s="2"/>
    </row>
    <row r="68" spans="1:26" x14ac:dyDescent="0.2">
      <c r="A68" s="2">
        <v>9</v>
      </c>
      <c r="B68" s="2">
        <v>260728</v>
      </c>
      <c r="C68" s="2" t="s">
        <v>62</v>
      </c>
      <c r="D68" s="2" t="s">
        <v>60</v>
      </c>
      <c r="E68" s="2" t="s">
        <v>115</v>
      </c>
      <c r="F68" s="2">
        <v>1.344527809511312</v>
      </c>
      <c r="G68" s="2">
        <v>1.4369093702485489</v>
      </c>
      <c r="H68" s="2">
        <v>1.764590182681447</v>
      </c>
      <c r="I68" s="2">
        <v>1.86400904217772</v>
      </c>
      <c r="J68" s="2">
        <v>1.4893578839179971</v>
      </c>
      <c r="K68" s="2">
        <v>1.2917963874098779</v>
      </c>
      <c r="L68" s="2">
        <v>1.1455592760379409</v>
      </c>
      <c r="M68" s="2">
        <v>1.0937388410952651</v>
      </c>
      <c r="N68" s="2"/>
      <c r="O68" s="2"/>
      <c r="P68" s="2"/>
      <c r="Q68" s="2">
        <f t="shared" si="6"/>
        <v>41.214665125462467</v>
      </c>
      <c r="R68" s="2">
        <f t="shared" si="7"/>
        <v>107.41604024484798</v>
      </c>
      <c r="S68" s="2">
        <f t="shared" si="8"/>
        <v>593.21098263164583</v>
      </c>
      <c r="T68" s="2"/>
      <c r="U68" s="2"/>
      <c r="V68" s="2"/>
      <c r="W68" s="2"/>
      <c r="X68" s="2"/>
      <c r="Y68" s="2"/>
      <c r="Z68" s="2"/>
    </row>
    <row r="69" spans="1:26" x14ac:dyDescent="0.2">
      <c r="A69" s="2">
        <v>9</v>
      </c>
      <c r="B69" s="2">
        <v>260728</v>
      </c>
      <c r="C69" s="2" t="s">
        <v>64</v>
      </c>
      <c r="D69" s="2" t="s">
        <v>60</v>
      </c>
      <c r="E69" s="2" t="s">
        <v>116</v>
      </c>
      <c r="F69" s="2">
        <v>1.66949638718656</v>
      </c>
      <c r="G69" s="2">
        <v>1.8070081032634711</v>
      </c>
      <c r="H69" s="2">
        <v>2.1178100206086561</v>
      </c>
      <c r="I69" s="2">
        <v>2.1642264928780368</v>
      </c>
      <c r="J69" s="2">
        <v>1.7912615793896629</v>
      </c>
      <c r="K69" s="2">
        <v>1.605344912574181</v>
      </c>
      <c r="L69" s="2">
        <v>1.468727023496849</v>
      </c>
      <c r="M69" s="2">
        <v>1.4681673239606681</v>
      </c>
      <c r="N69" s="2"/>
      <c r="O69" s="2"/>
      <c r="P69" s="2"/>
      <c r="Q69" s="2">
        <f t="shared" si="6"/>
        <v>58.549483193429452</v>
      </c>
      <c r="R69" s="2">
        <f t="shared" si="7"/>
        <v>142.39439688908593</v>
      </c>
      <c r="S69" s="2">
        <f t="shared" si="8"/>
        <v>865.78483375249607</v>
      </c>
      <c r="T69" s="2"/>
      <c r="U69" s="2"/>
      <c r="V69" s="2"/>
      <c r="W69" s="2"/>
      <c r="X69" s="2"/>
      <c r="Y69" s="2"/>
      <c r="Z69" s="2"/>
    </row>
    <row r="70" spans="1:26" x14ac:dyDescent="0.2">
      <c r="A70" s="2">
        <v>9</v>
      </c>
      <c r="B70" s="2">
        <v>260728</v>
      </c>
      <c r="C70" s="2" t="s">
        <v>24</v>
      </c>
      <c r="D70" s="2" t="s">
        <v>60</v>
      </c>
      <c r="E70" s="2" t="s">
        <v>117</v>
      </c>
      <c r="F70" s="2">
        <v>1.443362389116231</v>
      </c>
      <c r="G70" s="2">
        <v>1.50695430068349</v>
      </c>
      <c r="H70" s="2">
        <v>1.791183541303778</v>
      </c>
      <c r="I70" s="2">
        <v>1.7938207416642431</v>
      </c>
      <c r="J70" s="2">
        <v>1.4695943649937071</v>
      </c>
      <c r="K70" s="2">
        <v>1.333402249899394</v>
      </c>
      <c r="L70" s="2">
        <v>1.283623383610814</v>
      </c>
      <c r="M70" s="2">
        <v>1.31435951326926</v>
      </c>
      <c r="N70" s="2"/>
      <c r="O70" s="2"/>
      <c r="P70" s="2"/>
      <c r="Q70" s="2">
        <f t="shared" si="6"/>
        <v>46.241381290241137</v>
      </c>
      <c r="R70" s="2">
        <f t="shared" si="7"/>
        <v>109.92911431188875</v>
      </c>
      <c r="S70" s="2">
        <f t="shared" si="8"/>
        <v>577.13584490343339</v>
      </c>
      <c r="T70" s="2"/>
      <c r="U70" s="2"/>
      <c r="V70" s="2"/>
      <c r="W70" s="2"/>
      <c r="X70" s="2"/>
      <c r="Y70" s="2"/>
      <c r="Z70" s="2"/>
    </row>
    <row r="71" spans="1:26" x14ac:dyDescent="0.2">
      <c r="A71" s="2">
        <v>9</v>
      </c>
      <c r="B71" s="2">
        <v>260728</v>
      </c>
      <c r="C71" s="2" t="s">
        <v>26</v>
      </c>
      <c r="D71" s="2" t="s">
        <v>60</v>
      </c>
      <c r="E71" s="2" t="s">
        <v>118</v>
      </c>
      <c r="F71" s="2">
        <v>1.4010584908446551</v>
      </c>
      <c r="G71" s="2">
        <v>1.494330842102749</v>
      </c>
      <c r="H71" s="2">
        <v>1.7626380819751319</v>
      </c>
      <c r="I71" s="2">
        <v>1.8008531339610709</v>
      </c>
      <c r="J71" s="2">
        <v>1.4606789526344039</v>
      </c>
      <c r="K71" s="2">
        <v>1.3325359978791009</v>
      </c>
      <c r="L71" s="2">
        <v>1.2619588302607709</v>
      </c>
      <c r="M71" s="2">
        <v>1.2611753978063009</v>
      </c>
      <c r="N71" s="2"/>
      <c r="O71" s="2"/>
      <c r="P71" s="2"/>
      <c r="Q71" s="2">
        <f t="shared" si="6"/>
        <v>44.062920345816892</v>
      </c>
      <c r="R71" s="2">
        <f t="shared" si="7"/>
        <v>107.23236241638898</v>
      </c>
      <c r="S71" s="2">
        <f t="shared" si="8"/>
        <v>569.95554534692133</v>
      </c>
      <c r="T71" s="2"/>
      <c r="U71" s="2"/>
      <c r="V71" s="2"/>
      <c r="W71" s="2"/>
      <c r="X71" s="2"/>
      <c r="Y71" s="2"/>
      <c r="Z71" s="2"/>
    </row>
    <row r="72" spans="1:26" x14ac:dyDescent="0.2">
      <c r="A72" s="2">
        <v>9</v>
      </c>
      <c r="B72" s="2">
        <v>260728</v>
      </c>
      <c r="C72" s="2" t="s">
        <v>43</v>
      </c>
      <c r="D72" s="2" t="s">
        <v>60</v>
      </c>
      <c r="E72" s="2" t="s">
        <v>119</v>
      </c>
      <c r="F72" s="2">
        <v>1.8745298813977229</v>
      </c>
      <c r="G72" s="2">
        <v>2.1152515744157721</v>
      </c>
      <c r="H72" s="2">
        <v>2.381877226454741</v>
      </c>
      <c r="I72" s="2">
        <v>2.180235136559129</v>
      </c>
      <c r="J72" s="2">
        <v>1.780146630822194</v>
      </c>
      <c r="K72" s="2">
        <v>1.6231346564145179</v>
      </c>
      <c r="L72" s="2">
        <v>1.538837663620175</v>
      </c>
      <c r="M72" s="2">
        <v>1.559251413296556</v>
      </c>
      <c r="N72" s="2"/>
      <c r="O72" s="2"/>
      <c r="P72" s="2"/>
      <c r="Q72" s="2">
        <f t="shared" si="6"/>
        <v>70.638572988421615</v>
      </c>
      <c r="R72" s="2">
        <f t="shared" si="7"/>
        <v>170.70170719343318</v>
      </c>
      <c r="S72" s="2">
        <f t="shared" si="8"/>
        <v>854.85228263687793</v>
      </c>
      <c r="T72" s="2"/>
      <c r="U72" s="2"/>
      <c r="V72" s="2"/>
      <c r="W72" s="2"/>
      <c r="X72" s="2"/>
      <c r="Y72" s="2"/>
      <c r="Z72" s="2"/>
    </row>
    <row r="73" spans="1:26" x14ac:dyDescent="0.2">
      <c r="A73" s="2">
        <v>9</v>
      </c>
      <c r="B73" s="2">
        <v>260728</v>
      </c>
      <c r="C73" s="2" t="s">
        <v>120</v>
      </c>
      <c r="D73" s="2" t="s">
        <v>60</v>
      </c>
      <c r="E73" s="2" t="s">
        <v>121</v>
      </c>
      <c r="F73" s="2">
        <v>2.833920041490392</v>
      </c>
      <c r="G73" s="2">
        <v>2.9971745543766728</v>
      </c>
      <c r="H73" s="2">
        <v>3.4005461742876149</v>
      </c>
      <c r="I73" s="2">
        <v>3.3775094448770031</v>
      </c>
      <c r="J73" s="2">
        <v>2.8953907770566158</v>
      </c>
      <c r="K73" s="2">
        <v>2.673669153517038</v>
      </c>
      <c r="L73" s="2">
        <v>2.4709323437704609</v>
      </c>
      <c r="M73" s="2">
        <v>2.404629428890523</v>
      </c>
      <c r="N73" s="2"/>
      <c r="O73" s="2"/>
      <c r="P73" s="2"/>
      <c r="Q73" s="2">
        <f t="shared" si="6"/>
        <v>137.91259564974396</v>
      </c>
      <c r="R73" s="2">
        <f t="shared" si="7"/>
        <v>295.4400994275108</v>
      </c>
      <c r="S73" s="2">
        <f t="shared" si="8"/>
        <v>2291.3762013419614</v>
      </c>
      <c r="T73" s="2"/>
      <c r="U73" s="2"/>
      <c r="V73" s="2"/>
      <c r="W73" s="2"/>
      <c r="X73" s="2"/>
      <c r="Y73" s="2"/>
      <c r="Z73" s="2"/>
    </row>
    <row r="74" spans="1:26" x14ac:dyDescent="0.2">
      <c r="A74" s="2">
        <v>9</v>
      </c>
      <c r="B74" s="2">
        <v>260728</v>
      </c>
      <c r="C74" s="2" t="s">
        <v>122</v>
      </c>
      <c r="D74" s="2" t="s">
        <v>60</v>
      </c>
      <c r="E74" s="2" t="s">
        <v>123</v>
      </c>
      <c r="F74" s="2">
        <v>3.2592280356058372</v>
      </c>
      <c r="G74" s="2">
        <v>3.6135654243857411</v>
      </c>
      <c r="H74" s="2">
        <v>3.9655355194397881</v>
      </c>
      <c r="I74" s="2">
        <v>3.7469934968097851</v>
      </c>
      <c r="J74" s="2">
        <v>3.2309927935433018</v>
      </c>
      <c r="K74" s="2">
        <v>2.954614745901766</v>
      </c>
      <c r="L74" s="2">
        <v>2.7155730412935819</v>
      </c>
      <c r="M74" s="2">
        <v>2.5884318831660629</v>
      </c>
      <c r="N74" s="2"/>
      <c r="O74" s="2"/>
      <c r="P74" s="2"/>
      <c r="Q74" s="2">
        <f t="shared" si="6"/>
        <v>172.9112495609601</v>
      </c>
      <c r="R74" s="2">
        <f t="shared" si="7"/>
        <v>374.26154734352588</v>
      </c>
      <c r="S74" s="2">
        <f t="shared" si="8"/>
        <v>2857.1726785224728</v>
      </c>
      <c r="T74" s="2"/>
      <c r="U74" s="2"/>
      <c r="V74" s="2"/>
      <c r="W74" s="2"/>
      <c r="X74" s="2"/>
      <c r="Y74" s="2"/>
      <c r="Z74" s="2"/>
    </row>
    <row r="75" spans="1:26" x14ac:dyDescent="0.2">
      <c r="A75" s="2">
        <v>9</v>
      </c>
      <c r="B75" s="2">
        <v>260728</v>
      </c>
      <c r="C75" s="2" t="s">
        <v>34</v>
      </c>
      <c r="D75" s="2" t="s">
        <v>60</v>
      </c>
      <c r="E75" s="2" t="s">
        <v>124</v>
      </c>
      <c r="F75" s="2">
        <v>2.9428105020224362</v>
      </c>
      <c r="G75" s="2">
        <v>3.1243765790783251</v>
      </c>
      <c r="H75" s="2">
        <v>3.5421388488687069</v>
      </c>
      <c r="I75" s="2">
        <v>3.4536300939025248</v>
      </c>
      <c r="J75" s="2">
        <v>2.9718015440686769</v>
      </c>
      <c r="K75" s="2">
        <v>2.747157680477553</v>
      </c>
      <c r="L75" s="2">
        <v>2.5480381750949919</v>
      </c>
      <c r="M75" s="2">
        <v>2.4830680182010272</v>
      </c>
      <c r="N75" s="2"/>
      <c r="O75" s="2"/>
      <c r="P75" s="2"/>
      <c r="Q75" s="2">
        <f t="shared" si="6"/>
        <v>146.58574763343543</v>
      </c>
      <c r="R75" s="2">
        <f t="shared" si="7"/>
        <v>314.58323469615016</v>
      </c>
      <c r="S75" s="2">
        <f t="shared" si="8"/>
        <v>2414.7901561813992</v>
      </c>
      <c r="T75" s="2"/>
      <c r="U75" s="2"/>
      <c r="V75" s="2"/>
      <c r="W75" s="2"/>
      <c r="X75" s="2"/>
      <c r="Y75" s="2"/>
      <c r="Z75" s="2"/>
    </row>
    <row r="76" spans="1:26" x14ac:dyDescent="0.2">
      <c r="A76" s="2">
        <v>10</v>
      </c>
      <c r="B76" s="2">
        <v>260805</v>
      </c>
      <c r="C76" s="2" t="s">
        <v>45</v>
      </c>
      <c r="D76" s="2" t="s">
        <v>60</v>
      </c>
      <c r="E76" s="2" t="s">
        <v>125</v>
      </c>
      <c r="F76" s="2">
        <v>1.523629884330794</v>
      </c>
      <c r="G76" s="2">
        <v>1.612005155847543</v>
      </c>
      <c r="H76" s="2">
        <v>1.3180894172486961</v>
      </c>
      <c r="I76" s="2">
        <v>1.042692949895146</v>
      </c>
      <c r="J76" s="2">
        <v>0.81947899515750922</v>
      </c>
      <c r="K76" s="2">
        <v>0.81471943647682776</v>
      </c>
      <c r="L76" s="2">
        <v>0.86361563461833224</v>
      </c>
      <c r="M76" s="2">
        <v>1.008123873116189</v>
      </c>
      <c r="N76" s="2">
        <v>6.77</v>
      </c>
      <c r="O76" s="2"/>
      <c r="P76" s="2"/>
      <c r="Q76" s="2">
        <f t="shared" si="6"/>
        <v>50.483634980465276</v>
      </c>
      <c r="R76" s="2">
        <f t="shared" si="7"/>
        <v>68.370712619423372</v>
      </c>
      <c r="S76" s="2">
        <f t="shared" si="8"/>
        <v>170.31848799385546</v>
      </c>
      <c r="T76" s="2"/>
      <c r="U76" s="2"/>
      <c r="V76" s="2"/>
      <c r="W76" s="2"/>
      <c r="X76" s="2"/>
      <c r="Y76" s="2"/>
      <c r="Z76" s="2"/>
    </row>
    <row r="77" spans="1:26" x14ac:dyDescent="0.2">
      <c r="A77" s="2">
        <v>10</v>
      </c>
      <c r="B77" s="2">
        <v>260805</v>
      </c>
      <c r="C77" s="2" t="s">
        <v>47</v>
      </c>
      <c r="D77" s="2" t="s">
        <v>60</v>
      </c>
      <c r="E77" s="2" t="s">
        <v>126</v>
      </c>
      <c r="F77" s="2">
        <v>1.2559105231353671</v>
      </c>
      <c r="G77" s="2">
        <v>1.4797602849288249</v>
      </c>
      <c r="H77" s="2">
        <v>1.3867327178267379</v>
      </c>
      <c r="I77" s="2">
        <v>1.140909819949991</v>
      </c>
      <c r="J77" s="2">
        <v>0.93345573040042007</v>
      </c>
      <c r="K77" s="2">
        <v>0.91022585461420524</v>
      </c>
      <c r="L77" s="2">
        <v>0.97223140498026317</v>
      </c>
      <c r="M77" s="2">
        <v>1.083021581615536</v>
      </c>
      <c r="N77" s="2">
        <v>6.25</v>
      </c>
      <c r="O77" s="2"/>
      <c r="P77" s="2"/>
      <c r="Q77" s="2">
        <f t="shared" si="6"/>
        <v>36.896986613157608</v>
      </c>
      <c r="R77" s="2">
        <f t="shared" si="7"/>
        <v>73.970593509327514</v>
      </c>
      <c r="S77" s="2">
        <f t="shared" si="8"/>
        <v>224.44672948370518</v>
      </c>
      <c r="T77" s="2"/>
      <c r="U77" s="2"/>
      <c r="V77" s="2"/>
      <c r="W77" s="2"/>
      <c r="X77" s="2"/>
      <c r="Y77" s="2"/>
      <c r="Z77" s="2"/>
    </row>
    <row r="78" spans="1:26" x14ac:dyDescent="0.2">
      <c r="A78" s="2">
        <v>10</v>
      </c>
      <c r="B78" s="2">
        <v>260805</v>
      </c>
      <c r="C78" s="2" t="s">
        <v>49</v>
      </c>
      <c r="D78" s="2" t="s">
        <v>60</v>
      </c>
      <c r="E78" s="2" t="s">
        <v>127</v>
      </c>
      <c r="F78" s="2">
        <v>1.6577836531622789</v>
      </c>
      <c r="G78" s="2">
        <v>1.954870848105958</v>
      </c>
      <c r="H78" s="2">
        <v>2.12709988098102</v>
      </c>
      <c r="I78" s="2">
        <v>1.828262342686459</v>
      </c>
      <c r="J78" s="2">
        <v>1.4670970901536899</v>
      </c>
      <c r="K78" s="2">
        <v>1.345273106167661</v>
      </c>
      <c r="L78" s="2">
        <v>1.3239912894503441</v>
      </c>
      <c r="M78" s="2">
        <v>1.4006359007546489</v>
      </c>
      <c r="N78" s="2">
        <v>10.51</v>
      </c>
      <c r="O78" s="2"/>
      <c r="P78" s="2"/>
      <c r="Q78" s="2">
        <f t="shared" si="6"/>
        <v>57.885126124236919</v>
      </c>
      <c r="R78" s="2">
        <f t="shared" si="7"/>
        <v>143.3597711024417</v>
      </c>
      <c r="S78" s="2">
        <f t="shared" si="8"/>
        <v>575.12012023847217</v>
      </c>
      <c r="T78" s="2"/>
      <c r="U78" s="2"/>
      <c r="V78" s="2"/>
      <c r="W78" s="2"/>
      <c r="X78" s="2"/>
      <c r="Y78" s="2"/>
      <c r="Z78" s="2"/>
    </row>
    <row r="79" spans="1:26" x14ac:dyDescent="0.2">
      <c r="A79" s="2">
        <v>10</v>
      </c>
      <c r="B79" s="2">
        <v>260805</v>
      </c>
      <c r="C79" s="2" t="s">
        <v>51</v>
      </c>
      <c r="D79" s="2" t="s">
        <v>60</v>
      </c>
      <c r="E79" s="2" t="s">
        <v>128</v>
      </c>
      <c r="F79" s="2">
        <v>1.8157341563967271</v>
      </c>
      <c r="G79" s="2">
        <v>1.941413171239273</v>
      </c>
      <c r="H79" s="2">
        <v>2.266681114673379</v>
      </c>
      <c r="I79" s="2">
        <v>2.207492347123758</v>
      </c>
      <c r="J79" s="2">
        <v>1.7906998089366559</v>
      </c>
      <c r="K79" s="2">
        <v>1.6216544014351431</v>
      </c>
      <c r="L79" s="2">
        <v>1.4971868918826059</v>
      </c>
      <c r="M79" s="2">
        <v>1.490460138473229</v>
      </c>
      <c r="N79" s="2">
        <v>6.83</v>
      </c>
      <c r="O79" s="2"/>
      <c r="P79" s="2"/>
      <c r="Q79" s="2">
        <f t="shared" si="6"/>
        <v>67.084035851246767</v>
      </c>
      <c r="R79" s="2">
        <f t="shared" si="7"/>
        <v>158.13435469844489</v>
      </c>
      <c r="S79" s="2">
        <f t="shared" si="8"/>
        <v>865.23063869592124</v>
      </c>
      <c r="T79" s="2"/>
      <c r="U79" s="2"/>
      <c r="V79" s="2"/>
      <c r="W79" s="2"/>
      <c r="X79" s="2"/>
      <c r="Y79" s="2"/>
      <c r="Z79" s="2"/>
    </row>
    <row r="80" spans="1:26" x14ac:dyDescent="0.2">
      <c r="A80" s="2">
        <v>10</v>
      </c>
      <c r="B80" s="2">
        <v>260805</v>
      </c>
      <c r="C80" s="2" t="s">
        <v>53</v>
      </c>
      <c r="D80" s="2" t="s">
        <v>60</v>
      </c>
      <c r="E80" s="2" t="s">
        <v>129</v>
      </c>
      <c r="F80" s="2">
        <v>2.28295497824335</v>
      </c>
      <c r="G80" s="2">
        <v>2.2670990914877178</v>
      </c>
      <c r="H80" s="2">
        <v>2.660207753076441</v>
      </c>
      <c r="I80" s="2">
        <v>2.904750630551769</v>
      </c>
      <c r="J80" s="2">
        <v>2.4859280499292939</v>
      </c>
      <c r="K80" s="2">
        <v>2.2268969316416412</v>
      </c>
      <c r="L80" s="2">
        <v>1.9224116439622541</v>
      </c>
      <c r="M80" s="2">
        <v>1.790885749740011</v>
      </c>
      <c r="N80" s="2">
        <v>9.2100000000000009</v>
      </c>
      <c r="O80" s="2"/>
      <c r="P80" s="2"/>
      <c r="Q80" s="2">
        <f t="shared" si="6"/>
        <v>97.200614585316245</v>
      </c>
      <c r="R80" s="2">
        <f t="shared" si="7"/>
        <v>202.41301133325388</v>
      </c>
      <c r="S80" s="2">
        <f t="shared" si="8"/>
        <v>1684.4950887435527</v>
      </c>
      <c r="T80" s="2"/>
      <c r="U80" s="2"/>
      <c r="V80" s="2"/>
      <c r="W80" s="2"/>
      <c r="X80" s="2"/>
      <c r="Y80" s="2"/>
      <c r="Z80" s="2"/>
    </row>
    <row r="81" spans="1:26" x14ac:dyDescent="0.2">
      <c r="A81" s="2">
        <v>10</v>
      </c>
      <c r="B81" s="2">
        <v>260805</v>
      </c>
      <c r="C81" s="2" t="s">
        <v>120</v>
      </c>
      <c r="D81" s="2" t="s">
        <v>60</v>
      </c>
      <c r="E81" s="2" t="s">
        <v>130</v>
      </c>
      <c r="F81" s="2">
        <v>3.0828350487247791</v>
      </c>
      <c r="G81" s="2">
        <v>3.0754042522981728</v>
      </c>
      <c r="H81" s="2">
        <v>3.5675955228030181</v>
      </c>
      <c r="I81" s="2">
        <v>3.869833048925162</v>
      </c>
      <c r="J81" s="2">
        <v>3.4360818761501699</v>
      </c>
      <c r="K81" s="2">
        <v>3.1241467149112512</v>
      </c>
      <c r="L81" s="2">
        <v>2.6165030573596559</v>
      </c>
      <c r="M81" s="2">
        <v>2.3557175990435648</v>
      </c>
      <c r="N81" s="2">
        <v>2.75</v>
      </c>
      <c r="O81" s="2"/>
      <c r="P81" s="2"/>
      <c r="Q81" s="2">
        <f t="shared" si="6"/>
        <v>158.03171358156305</v>
      </c>
      <c r="R81" s="2">
        <f t="shared" si="7"/>
        <v>318.06898993694313</v>
      </c>
      <c r="S81" s="2">
        <f t="shared" si="8"/>
        <v>3233.173751080124</v>
      </c>
      <c r="T81" s="2"/>
      <c r="U81" s="2"/>
      <c r="V81" s="2"/>
      <c r="W81" s="2"/>
      <c r="X81" s="2"/>
      <c r="Y81" s="2"/>
      <c r="Z81" s="2"/>
    </row>
    <row r="82" spans="1:26" x14ac:dyDescent="0.2">
      <c r="A82" s="2">
        <v>10</v>
      </c>
      <c r="B82" s="2">
        <v>260805</v>
      </c>
      <c r="C82" s="2" t="s">
        <v>122</v>
      </c>
      <c r="D82" s="2" t="s">
        <v>60</v>
      </c>
      <c r="E82" s="2" t="s">
        <v>131</v>
      </c>
      <c r="F82" s="2">
        <v>2.9005467579072359</v>
      </c>
      <c r="G82" s="2">
        <v>2.9454987058832671</v>
      </c>
      <c r="H82" s="2">
        <v>3.3905813266588631</v>
      </c>
      <c r="I82" s="2">
        <v>3.6530715293855689</v>
      </c>
      <c r="J82" s="2">
        <v>3.3353328766170418</v>
      </c>
      <c r="K82" s="2">
        <v>3.018525116426249</v>
      </c>
      <c r="L82" s="2">
        <v>2.606791964341046</v>
      </c>
      <c r="M82" s="2">
        <v>2.3557402243161931</v>
      </c>
      <c r="N82" s="2">
        <v>2.75</v>
      </c>
      <c r="O82" s="2"/>
      <c r="P82" s="2"/>
      <c r="Q82" s="2">
        <f t="shared" si="6"/>
        <v>143.19557013851275</v>
      </c>
      <c r="R82" s="2">
        <f t="shared" si="7"/>
        <v>294.10863443346858</v>
      </c>
      <c r="S82" s="2">
        <f t="shared" si="8"/>
        <v>3045.6022130985198</v>
      </c>
      <c r="T82" s="2"/>
      <c r="U82" s="2"/>
      <c r="V82" s="2"/>
      <c r="W82" s="2"/>
      <c r="X82" s="2"/>
      <c r="Y82" s="2"/>
      <c r="Z82" s="2"/>
    </row>
    <row r="83" spans="1:26" x14ac:dyDescent="0.2">
      <c r="A83" s="2">
        <v>10</v>
      </c>
      <c r="B83" s="2">
        <v>260805</v>
      </c>
      <c r="C83" s="2" t="s">
        <v>34</v>
      </c>
      <c r="D83" s="2" t="s">
        <v>60</v>
      </c>
      <c r="E83" s="2" t="s">
        <v>132</v>
      </c>
      <c r="F83" s="2">
        <v>2.398967067605803</v>
      </c>
      <c r="G83" s="2">
        <v>2.4029652030422528</v>
      </c>
      <c r="H83" s="2">
        <v>2.8581410597402339</v>
      </c>
      <c r="I83" s="2">
        <v>3.138215549424467</v>
      </c>
      <c r="J83" s="2">
        <v>2.664291368548195</v>
      </c>
      <c r="K83" s="2">
        <v>2.3672477960266232</v>
      </c>
      <c r="L83" s="2">
        <v>1.981025188761957</v>
      </c>
      <c r="M83" s="2">
        <v>1.751052290902767</v>
      </c>
      <c r="N83" s="2">
        <v>5.84</v>
      </c>
      <c r="O83" s="2"/>
      <c r="P83" s="2"/>
      <c r="Q83" s="2">
        <f t="shared" si="6"/>
        <v>105.32065852634665</v>
      </c>
      <c r="R83" s="2">
        <f t="shared" si="7"/>
        <v>226.08178057889461</v>
      </c>
      <c r="S83" s="2">
        <f t="shared" si="8"/>
        <v>1937.559575470709</v>
      </c>
      <c r="T83" s="2"/>
      <c r="U83" s="2"/>
      <c r="V83" s="2"/>
      <c r="W83" s="2"/>
      <c r="X83" s="2"/>
      <c r="Y83" s="2"/>
      <c r="Z83" s="2"/>
    </row>
    <row r="84" spans="1:26" x14ac:dyDescent="0.2">
      <c r="A84" s="2">
        <v>10</v>
      </c>
      <c r="B84" s="2">
        <v>260805</v>
      </c>
      <c r="C84" s="2" t="s">
        <v>85</v>
      </c>
      <c r="D84" s="2" t="s">
        <v>60</v>
      </c>
      <c r="E84" s="2" t="s">
        <v>133</v>
      </c>
      <c r="F84" s="2">
        <v>1.7402441137969411</v>
      </c>
      <c r="G84" s="2">
        <v>1.75548982735772</v>
      </c>
      <c r="H84" s="2">
        <v>2.067198129879912</v>
      </c>
      <c r="I84" s="2">
        <v>2.1555611543529811</v>
      </c>
      <c r="J84" s="2">
        <v>1.7900495736252391</v>
      </c>
      <c r="K84" s="2">
        <v>1.626199353003551</v>
      </c>
      <c r="L84" s="2">
        <v>1.432118571600747</v>
      </c>
      <c r="M84" s="2">
        <v>1.389279172747222</v>
      </c>
      <c r="N84" s="2">
        <v>8.9499999999999993</v>
      </c>
      <c r="O84" s="2"/>
      <c r="P84" s="2"/>
      <c r="Q84" s="2">
        <f t="shared" si="6"/>
        <v>62.623271913703682</v>
      </c>
      <c r="R84" s="2">
        <f t="shared" si="7"/>
        <v>137.17489417072491</v>
      </c>
      <c r="S84" s="2">
        <f t="shared" si="8"/>
        <v>864.58939015660098</v>
      </c>
      <c r="T84" s="2"/>
      <c r="U84" s="2"/>
      <c r="V84" s="2"/>
      <c r="W84" s="2"/>
      <c r="X84" s="2"/>
      <c r="Y84" s="2"/>
      <c r="Z84" s="2"/>
    </row>
    <row r="85" spans="1:26" x14ac:dyDescent="0.2">
      <c r="A85" s="2">
        <v>11</v>
      </c>
      <c r="B85" s="2">
        <v>260811</v>
      </c>
      <c r="C85" s="2" t="s">
        <v>36</v>
      </c>
      <c r="D85" s="2" t="s">
        <v>60</v>
      </c>
      <c r="E85" s="2" t="s">
        <v>134</v>
      </c>
      <c r="F85" s="2">
        <v>1.932388375597663</v>
      </c>
      <c r="G85" s="2">
        <v>1.9851613377247761</v>
      </c>
      <c r="H85" s="2">
        <v>2.2846627621382818</v>
      </c>
      <c r="I85" s="2">
        <v>2.4681964993555372</v>
      </c>
      <c r="J85" s="2">
        <v>2.0939821495150182</v>
      </c>
      <c r="K85" s="2">
        <v>1.906223941396066</v>
      </c>
      <c r="L85" s="2">
        <v>1.719908557377211</v>
      </c>
      <c r="M85" s="2">
        <v>1.6560022731991451</v>
      </c>
      <c r="N85" s="2">
        <v>6.71</v>
      </c>
      <c r="O85" s="2"/>
      <c r="P85" s="2"/>
      <c r="Q85" s="2">
        <f t="shared" si="6"/>
        <v>74.204132037481429</v>
      </c>
      <c r="R85" s="2">
        <f t="shared" si="7"/>
        <v>160.07404011451581</v>
      </c>
      <c r="S85" s="2">
        <f t="shared" si="8"/>
        <v>1189.8313189871531</v>
      </c>
      <c r="T85" s="2"/>
      <c r="U85" s="2"/>
      <c r="V85" s="2"/>
      <c r="W85" s="2"/>
      <c r="X85" s="2"/>
      <c r="Y85" s="2"/>
      <c r="Z85" s="2"/>
    </row>
    <row r="86" spans="1:26" x14ac:dyDescent="0.2">
      <c r="A86" s="2">
        <v>11</v>
      </c>
      <c r="B86" s="2">
        <v>260811</v>
      </c>
      <c r="C86" s="2" t="s">
        <v>19</v>
      </c>
      <c r="D86" s="2" t="s">
        <v>60</v>
      </c>
      <c r="E86" s="2" t="s">
        <v>135</v>
      </c>
      <c r="F86" s="2">
        <v>1.457112968217763</v>
      </c>
      <c r="G86" s="2">
        <v>1.6525517528947651</v>
      </c>
      <c r="H86" s="2">
        <v>2.0108963293378799</v>
      </c>
      <c r="I86" s="2">
        <v>2.0653792368182349</v>
      </c>
      <c r="J86" s="2">
        <v>1.5784731803549359</v>
      </c>
      <c r="K86" s="2">
        <v>1.3348544861400411</v>
      </c>
      <c r="L86" s="2">
        <v>1.1577895867301571</v>
      </c>
      <c r="M86" s="2">
        <v>1.1042573277161509</v>
      </c>
      <c r="N86" s="2">
        <v>15.14</v>
      </c>
      <c r="O86" s="2"/>
      <c r="P86" s="2"/>
      <c r="Q86" s="2">
        <f t="shared" si="6"/>
        <v>46.958051645215406</v>
      </c>
      <c r="R86" s="2">
        <f t="shared" si="7"/>
        <v>131.44858693064586</v>
      </c>
      <c r="S86" s="2">
        <f t="shared" si="8"/>
        <v>668.39750595309943</v>
      </c>
      <c r="T86" s="2"/>
      <c r="U86" s="2"/>
      <c r="V86" s="2"/>
      <c r="W86" s="2"/>
      <c r="X86" s="2"/>
      <c r="Y86" s="2"/>
      <c r="Z86" s="2"/>
    </row>
    <row r="87" spans="1:26" x14ac:dyDescent="0.2">
      <c r="A87" s="2">
        <v>11</v>
      </c>
      <c r="B87" s="2">
        <v>260811</v>
      </c>
      <c r="C87" s="2" t="s">
        <v>22</v>
      </c>
      <c r="D87" s="2" t="s">
        <v>60</v>
      </c>
      <c r="E87" s="2" t="s">
        <v>136</v>
      </c>
      <c r="F87" s="2">
        <v>1.3902889022393761</v>
      </c>
      <c r="G87" s="2">
        <v>1.5700484301583419</v>
      </c>
      <c r="H87" s="2">
        <v>1.965469526933636</v>
      </c>
      <c r="I87" s="2">
        <v>1.988275375204567</v>
      </c>
      <c r="J87" s="2">
        <v>1.5061814342100619</v>
      </c>
      <c r="K87" s="2">
        <v>1.2615308652223001</v>
      </c>
      <c r="L87" s="2">
        <v>1.0803794099503909</v>
      </c>
      <c r="M87" s="2">
        <v>0.98447824285545826</v>
      </c>
      <c r="N87" s="2">
        <v>4.28</v>
      </c>
      <c r="O87" s="2"/>
      <c r="P87" s="2"/>
      <c r="Q87" s="2">
        <f t="shared" si="6"/>
        <v>43.514734224560875</v>
      </c>
      <c r="R87" s="2">
        <f t="shared" si="7"/>
        <v>126.89047820735743</v>
      </c>
      <c r="S87" s="2">
        <f t="shared" si="8"/>
        <v>607.06634128383382</v>
      </c>
      <c r="T87" s="2"/>
      <c r="U87" s="2"/>
      <c r="V87" s="2"/>
      <c r="W87" s="2"/>
      <c r="X87" s="2"/>
      <c r="Y87" s="2"/>
      <c r="Z87" s="2"/>
    </row>
    <row r="88" spans="1:26" x14ac:dyDescent="0.2">
      <c r="A88" s="2">
        <v>11</v>
      </c>
      <c r="B88" s="2">
        <v>260811</v>
      </c>
      <c r="C88" s="2" t="s">
        <v>26</v>
      </c>
      <c r="D88" s="2" t="s">
        <v>20</v>
      </c>
      <c r="E88" s="2" t="s">
        <v>137</v>
      </c>
      <c r="F88" s="2">
        <v>2.6396941369902809</v>
      </c>
      <c r="G88" s="2">
        <v>2.748901703142518</v>
      </c>
      <c r="H88" s="2">
        <v>2.9716630054725179</v>
      </c>
      <c r="I88" s="2">
        <v>3.339858421051856</v>
      </c>
      <c r="J88" s="2">
        <v>3.283315771926778</v>
      </c>
      <c r="K88" s="2">
        <v>2.9334529890202061</v>
      </c>
      <c r="L88" s="2">
        <v>2.4935412583553158</v>
      </c>
      <c r="M88" s="2">
        <v>2.2282412433182341</v>
      </c>
      <c r="N88" s="2">
        <v>2.5099999999999998</v>
      </c>
      <c r="O88" s="2"/>
      <c r="P88" s="2"/>
      <c r="Q88" s="2">
        <f t="shared" si="6"/>
        <v>122.94730438120391</v>
      </c>
      <c r="R88" s="2">
        <f t="shared" si="7"/>
        <v>240.06169144574073</v>
      </c>
      <c r="S88" s="2">
        <f t="shared" si="8"/>
        <v>2950.9220960908128</v>
      </c>
      <c r="T88" s="2"/>
      <c r="U88" s="2"/>
      <c r="V88" s="2"/>
      <c r="W88" s="2"/>
      <c r="X88" s="2"/>
      <c r="Y88" s="2"/>
      <c r="Z88" s="2"/>
    </row>
    <row r="89" spans="1:26" x14ac:dyDescent="0.2">
      <c r="A89" s="2">
        <v>11</v>
      </c>
      <c r="B89" s="2">
        <v>260811</v>
      </c>
      <c r="C89" s="2" t="s">
        <v>43</v>
      </c>
      <c r="D89" s="2" t="s">
        <v>20</v>
      </c>
      <c r="E89" s="2" t="s">
        <v>138</v>
      </c>
      <c r="F89" s="2">
        <v>3.6041832439668839</v>
      </c>
      <c r="G89" s="2">
        <v>3.682908874611758</v>
      </c>
      <c r="H89" s="2">
        <v>3.9286287450631612</v>
      </c>
      <c r="I89" s="2">
        <v>4.3248663215829604</v>
      </c>
      <c r="J89" s="2">
        <v>4.1198862065724793</v>
      </c>
      <c r="K89" s="2">
        <v>3.78026993917628</v>
      </c>
      <c r="L89" s="2">
        <v>3.285381112251438</v>
      </c>
      <c r="M89" s="2">
        <v>2.9629425293471172</v>
      </c>
      <c r="N89" s="2">
        <v>2.4700000000000002</v>
      </c>
      <c r="O89" s="2"/>
      <c r="P89" s="2"/>
      <c r="Q89" s="2">
        <f t="shared" si="6"/>
        <v>203.45543555561045</v>
      </c>
      <c r="R89" s="2">
        <f t="shared" si="7"/>
        <v>368.9174698892931</v>
      </c>
      <c r="S89" s="2">
        <f t="shared" si="8"/>
        <v>4652.0204915006962</v>
      </c>
      <c r="T89" s="2"/>
      <c r="U89" s="2"/>
      <c r="V89" s="2"/>
      <c r="W89" s="2"/>
      <c r="X89" s="2"/>
      <c r="Y89" s="2"/>
      <c r="Z89" s="2"/>
    </row>
    <row r="90" spans="1:26" x14ac:dyDescent="0.2">
      <c r="A90" s="2">
        <v>12</v>
      </c>
      <c r="B90" s="2">
        <v>260814</v>
      </c>
      <c r="C90" s="2" t="s">
        <v>45</v>
      </c>
      <c r="D90" s="2" t="s">
        <v>20</v>
      </c>
      <c r="E90" s="2" t="s">
        <v>139</v>
      </c>
      <c r="F90" s="2">
        <v>0.91699845223411647</v>
      </c>
      <c r="G90" s="2">
        <v>1.037039801115643</v>
      </c>
      <c r="H90" s="2">
        <v>0.90489168762188532</v>
      </c>
      <c r="I90" s="2">
        <v>0.75871859992562185</v>
      </c>
      <c r="J90" s="2">
        <v>0.65717186447642373</v>
      </c>
      <c r="K90" s="2">
        <v>0.67598146652714708</v>
      </c>
      <c r="L90" s="2">
        <v>0.79273803275517962</v>
      </c>
      <c r="M90" s="2">
        <v>0.96784961489749266</v>
      </c>
      <c r="N90" s="2"/>
      <c r="O90" s="2"/>
      <c r="P90" s="2"/>
      <c r="Q90" s="2">
        <f t="shared" si="6"/>
        <v>22.131024131194696</v>
      </c>
      <c r="R90" s="2">
        <f t="shared" si="7"/>
        <v>38.088678936639454</v>
      </c>
      <c r="S90" s="2">
        <f t="shared" si="8"/>
        <v>105.96187364950036</v>
      </c>
      <c r="T90" s="2"/>
      <c r="U90" s="2"/>
      <c r="V90" s="2"/>
      <c r="W90" s="2"/>
      <c r="X90" s="2"/>
      <c r="Y90" s="2"/>
      <c r="Z90" s="2"/>
    </row>
    <row r="91" spans="1:26" x14ac:dyDescent="0.2">
      <c r="A91" s="2">
        <v>12</v>
      </c>
      <c r="B91" s="2">
        <v>260814</v>
      </c>
      <c r="C91" s="2" t="s">
        <v>47</v>
      </c>
      <c r="D91" s="2" t="s">
        <v>20</v>
      </c>
      <c r="E91" s="2" t="s">
        <v>140</v>
      </c>
      <c r="F91" s="2">
        <v>0.58092463188053567</v>
      </c>
      <c r="G91" s="2">
        <v>0.66877767076880001</v>
      </c>
      <c r="H91" s="2">
        <v>0.49352430189920621</v>
      </c>
      <c r="I91" s="2">
        <v>0.35113766791995488</v>
      </c>
      <c r="J91" s="2">
        <v>0.19945621061279609</v>
      </c>
      <c r="K91" s="2">
        <v>0.20513055807515931</v>
      </c>
      <c r="L91" s="2">
        <v>0.30618430683444869</v>
      </c>
      <c r="M91" s="2">
        <v>0.40747916035453952</v>
      </c>
      <c r="N91" s="2"/>
      <c r="O91" s="2"/>
      <c r="P91" s="2"/>
      <c r="Q91" s="2">
        <f t="shared" si="6"/>
        <v>10.51112750979385</v>
      </c>
      <c r="R91" s="2">
        <f t="shared" si="7"/>
        <v>14.692433778930777</v>
      </c>
      <c r="S91" s="2">
        <f t="shared" si="8"/>
        <v>5.9809188060362182</v>
      </c>
      <c r="T91" s="2"/>
      <c r="U91" s="2"/>
      <c r="V91" s="2"/>
      <c r="W91" s="2"/>
      <c r="X91" s="2"/>
      <c r="Y91" s="2"/>
      <c r="Z91" s="2"/>
    </row>
    <row r="92" spans="1:26" x14ac:dyDescent="0.2">
      <c r="A92" s="2">
        <v>12</v>
      </c>
      <c r="B92" s="2">
        <v>260814</v>
      </c>
      <c r="C92" s="2" t="s">
        <v>49</v>
      </c>
      <c r="D92" s="2" t="s">
        <v>20</v>
      </c>
      <c r="E92" s="2" t="s">
        <v>141</v>
      </c>
      <c r="F92" s="2">
        <v>1.0533704585238099</v>
      </c>
      <c r="G92" s="2">
        <v>1.1914035104407481</v>
      </c>
      <c r="H92" s="2">
        <v>1.2602539953547409</v>
      </c>
      <c r="I92" s="2">
        <v>1.1431043380836721</v>
      </c>
      <c r="J92" s="2">
        <v>0.93527496270405963</v>
      </c>
      <c r="K92" s="2">
        <v>0.89365151576454971</v>
      </c>
      <c r="L92" s="2">
        <v>0.95924984187771933</v>
      </c>
      <c r="M92" s="2">
        <v>1.0508513111150359</v>
      </c>
      <c r="N92" s="2"/>
      <c r="O92" s="2"/>
      <c r="P92" s="2"/>
      <c r="Q92" s="2">
        <f t="shared" si="6"/>
        <v>27.728406581249146</v>
      </c>
      <c r="R92" s="2">
        <f t="shared" si="7"/>
        <v>63.772600370802166</v>
      </c>
      <c r="S92" s="2">
        <f t="shared" si="8"/>
        <v>225.37027011527181</v>
      </c>
      <c r="T92" s="2"/>
      <c r="U92" s="2"/>
      <c r="V92" s="2"/>
      <c r="W92" s="2"/>
      <c r="X92" s="2"/>
      <c r="Y92" s="2"/>
      <c r="Z92" s="2"/>
    </row>
    <row r="93" spans="1:26" x14ac:dyDescent="0.2">
      <c r="A93" s="2">
        <v>12</v>
      </c>
      <c r="B93" s="2">
        <v>260814</v>
      </c>
      <c r="C93" s="2" t="s">
        <v>51</v>
      </c>
      <c r="D93" s="2" t="s">
        <v>20</v>
      </c>
      <c r="E93" s="2" t="s">
        <v>142</v>
      </c>
      <c r="F93" s="2">
        <v>2.0341288803956701</v>
      </c>
      <c r="G93" s="2">
        <v>2.16586859760258</v>
      </c>
      <c r="H93" s="2">
        <v>2.3493930920835382</v>
      </c>
      <c r="I93" s="2">
        <v>2.414497816399106</v>
      </c>
      <c r="J93" s="2">
        <v>2.0767303271914548</v>
      </c>
      <c r="K93" s="2">
        <v>1.901303560688103</v>
      </c>
      <c r="L93" s="2">
        <v>1.837787460183133</v>
      </c>
      <c r="M93" s="2">
        <v>1.8775821088186091</v>
      </c>
      <c r="N93" s="2"/>
      <c r="O93" s="2"/>
      <c r="P93" s="2"/>
      <c r="Q93" s="2">
        <f t="shared" si="6"/>
        <v>80.634385402461405</v>
      </c>
      <c r="R93" s="2">
        <f t="shared" si="7"/>
        <v>167.12413284894839</v>
      </c>
      <c r="S93" s="2">
        <f t="shared" si="8"/>
        <v>1170.0031229625909</v>
      </c>
      <c r="T93" s="2"/>
      <c r="U93" s="2"/>
      <c r="V93" s="2"/>
      <c r="W93" s="2"/>
      <c r="X93" s="2"/>
      <c r="Y93" s="2"/>
      <c r="Z93" s="2"/>
    </row>
    <row r="94" spans="1:26" x14ac:dyDescent="0.2">
      <c r="A94" s="2">
        <v>12</v>
      </c>
      <c r="B94" s="2">
        <v>260814</v>
      </c>
      <c r="C94" s="2" t="s">
        <v>53</v>
      </c>
      <c r="D94" s="2" t="s">
        <v>20</v>
      </c>
      <c r="E94" s="2" t="s">
        <v>143</v>
      </c>
      <c r="F94" s="2">
        <v>2.3448390243013302</v>
      </c>
      <c r="G94" s="2">
        <v>2.4721176744212099</v>
      </c>
      <c r="H94" s="2">
        <v>2.6604004214411101</v>
      </c>
      <c r="I94" s="2">
        <v>2.8122005956135401</v>
      </c>
      <c r="J94" s="2">
        <v>2.495045782622106</v>
      </c>
      <c r="K94" s="2">
        <v>2.2722082868402049</v>
      </c>
      <c r="L94" s="2">
        <v>2.119523066554454</v>
      </c>
      <c r="M94" s="2">
        <v>2.0992495594151381</v>
      </c>
      <c r="N94" s="2"/>
      <c r="O94" s="2"/>
      <c r="P94" s="2"/>
      <c r="Q94" s="2">
        <f t="shared" si="6"/>
        <v>101.50126552502603</v>
      </c>
      <c r="R94" s="2">
        <f t="shared" si="7"/>
        <v>202.43560639669218</v>
      </c>
      <c r="S94" s="2">
        <f t="shared" si="8"/>
        <v>1697.0080080520515</v>
      </c>
      <c r="T94" s="2"/>
      <c r="U94" s="2"/>
      <c r="V94" s="2"/>
      <c r="W94" s="2"/>
      <c r="X94" s="2"/>
      <c r="Y94" s="2"/>
      <c r="Z94" s="2"/>
    </row>
    <row r="95" spans="1:26" x14ac:dyDescent="0.2">
      <c r="A95" s="2">
        <v>12</v>
      </c>
      <c r="B95" s="2">
        <v>260814</v>
      </c>
      <c r="C95" s="2" t="s">
        <v>85</v>
      </c>
      <c r="D95" s="2" t="s">
        <v>20</v>
      </c>
      <c r="E95" s="2" t="s">
        <v>144</v>
      </c>
      <c r="F95" s="2">
        <v>1.7061947221776459</v>
      </c>
      <c r="G95" s="2">
        <v>1.840002055311265</v>
      </c>
      <c r="H95" s="2">
        <v>2.027191024061445</v>
      </c>
      <c r="I95" s="2">
        <v>2.120302816558282</v>
      </c>
      <c r="J95" s="2">
        <v>1.791033621500532</v>
      </c>
      <c r="K95" s="2">
        <v>1.5988914745308289</v>
      </c>
      <c r="L95" s="2">
        <v>1.4978541813729549</v>
      </c>
      <c r="M95" s="2">
        <v>1.516905992621709</v>
      </c>
      <c r="N95" s="2"/>
      <c r="O95" s="2"/>
      <c r="P95" s="2"/>
      <c r="Q95" s="2">
        <f t="shared" si="6"/>
        <v>60.649644642268562</v>
      </c>
      <c r="R95" s="2">
        <f t="shared" si="7"/>
        <v>133.09715469895804</v>
      </c>
      <c r="S95" s="2">
        <f t="shared" si="8"/>
        <v>865.55992875214213</v>
      </c>
      <c r="T95" s="2"/>
      <c r="U95" s="2"/>
      <c r="V95" s="2"/>
      <c r="W95" s="2"/>
      <c r="X95" s="2"/>
      <c r="Y95" s="2"/>
      <c r="Z95" s="2"/>
    </row>
    <row r="96" spans="1:26" x14ac:dyDescent="0.2">
      <c r="A96" s="2">
        <v>12</v>
      </c>
      <c r="B96" s="2">
        <v>260814</v>
      </c>
      <c r="C96" s="2" t="s">
        <v>36</v>
      </c>
      <c r="D96" s="2" t="s">
        <v>20</v>
      </c>
      <c r="E96" s="2" t="s">
        <v>145</v>
      </c>
      <c r="F96" s="2">
        <v>3.2692963193972968</v>
      </c>
      <c r="G96" s="2">
        <v>3.5335980345197822</v>
      </c>
      <c r="H96" s="2">
        <v>3.783601416294009</v>
      </c>
      <c r="I96" s="2">
        <v>3.854295107992491</v>
      </c>
      <c r="J96" s="2">
        <v>3.4586097728483951</v>
      </c>
      <c r="K96" s="2">
        <v>3.156400041674619</v>
      </c>
      <c r="L96" s="2">
        <v>2.8984327764086819</v>
      </c>
      <c r="M96" s="2">
        <v>2.7765181412160769</v>
      </c>
      <c r="N96" s="2"/>
      <c r="O96" s="2"/>
      <c r="P96" s="2"/>
      <c r="Q96" s="2">
        <f t="shared" si="6"/>
        <v>173.77584359575101</v>
      </c>
      <c r="R96" s="2">
        <f t="shared" si="7"/>
        <v>348.17769179764366</v>
      </c>
      <c r="S96" s="2">
        <f t="shared" si="8"/>
        <v>3275.8713806813471</v>
      </c>
      <c r="T96" s="2"/>
      <c r="U96" s="2"/>
      <c r="V96" s="2"/>
      <c r="W96" s="2"/>
      <c r="X96" s="2"/>
      <c r="Y96" s="2"/>
      <c r="Z96" s="2"/>
    </row>
    <row r="97" spans="1:26" x14ac:dyDescent="0.2">
      <c r="A97" s="2">
        <v>13</v>
      </c>
      <c r="B97" s="2">
        <v>260828</v>
      </c>
      <c r="C97" s="2" t="s">
        <v>34</v>
      </c>
      <c r="D97" s="2" t="s">
        <v>20</v>
      </c>
      <c r="E97" s="2" t="s">
        <v>146</v>
      </c>
      <c r="F97" s="2">
        <v>2.3859284349815768</v>
      </c>
      <c r="G97" s="2">
        <v>2.5895456831023869</v>
      </c>
      <c r="H97" s="2">
        <v>2.9042642338362321</v>
      </c>
      <c r="I97" s="2">
        <v>2.9508962952032332</v>
      </c>
      <c r="J97" s="2">
        <v>2.501269192784334</v>
      </c>
      <c r="K97" s="2">
        <v>2.209991487852506</v>
      </c>
      <c r="L97" s="2">
        <v>1.959573496189758</v>
      </c>
      <c r="M97" s="2">
        <v>1.8532870374185919</v>
      </c>
      <c r="N97" s="2"/>
      <c r="O97" s="2"/>
      <c r="P97" s="2"/>
      <c r="Q97" s="2">
        <f t="shared" si="6"/>
        <v>104.39572508208516</v>
      </c>
      <c r="R97" s="2">
        <f t="shared" si="7"/>
        <v>231.72658935957733</v>
      </c>
      <c r="S97" s="2">
        <f t="shared" si="8"/>
        <v>1705.5750557589513</v>
      </c>
      <c r="T97" s="2"/>
      <c r="U97" s="2"/>
      <c r="V97" s="2"/>
      <c r="W97" s="2"/>
      <c r="X97" s="2"/>
      <c r="Y97" s="2"/>
      <c r="Z97" s="2"/>
    </row>
    <row r="98" spans="1:26" x14ac:dyDescent="0.2">
      <c r="A98" s="2">
        <v>13</v>
      </c>
      <c r="B98" s="2">
        <v>260828</v>
      </c>
      <c r="C98" s="2" t="s">
        <v>32</v>
      </c>
      <c r="D98" s="2" t="s">
        <v>20</v>
      </c>
      <c r="E98" s="2" t="s">
        <v>147</v>
      </c>
      <c r="F98" s="2">
        <v>3.020534128706676</v>
      </c>
      <c r="G98" s="2">
        <v>3.2379069375988019</v>
      </c>
      <c r="H98" s="2">
        <v>3.5784551587399909</v>
      </c>
      <c r="I98" s="2">
        <v>3.8217726420016822</v>
      </c>
      <c r="J98" s="2">
        <v>3.3956717199422162</v>
      </c>
      <c r="K98" s="2">
        <v>3.0365815686265591</v>
      </c>
      <c r="L98" s="2">
        <v>2.6502836436704902</v>
      </c>
      <c r="M98" s="2">
        <v>2.4110164564251448</v>
      </c>
      <c r="N98" s="2"/>
      <c r="O98" s="2"/>
      <c r="P98" s="2"/>
      <c r="Q98" s="2">
        <f t="shared" ref="Q98:Q103" si="9">((F98- 0.00793) / 0.1333)^(1/0.6199)</f>
        <v>152.89870358769215</v>
      </c>
      <c r="R98" s="2">
        <f t="shared" ref="R98:R103" si="10">((H98- 0.0166) / 0.0825)^(1/0.6529)</f>
        <v>319.56004105799093</v>
      </c>
      <c r="S98" s="2">
        <f t="shared" ref="S98:S103" si="11">((J98- 0.06053) / 0.0561)^(1/0.507)</f>
        <v>3157.2755674061086</v>
      </c>
      <c r="T98" s="2"/>
      <c r="U98" s="2"/>
      <c r="V98" s="2"/>
      <c r="W98" s="2"/>
      <c r="X98" s="2"/>
      <c r="Y98" s="2"/>
      <c r="Z98" s="2"/>
    </row>
    <row r="99" spans="1:26" x14ac:dyDescent="0.2">
      <c r="A99" s="2">
        <v>13</v>
      </c>
      <c r="B99" s="2">
        <v>260828</v>
      </c>
      <c r="C99" s="2" t="s">
        <v>43</v>
      </c>
      <c r="D99" s="2" t="s">
        <v>20</v>
      </c>
      <c r="E99" s="2" t="s">
        <v>148</v>
      </c>
      <c r="F99" s="2">
        <v>2.7450385776089248</v>
      </c>
      <c r="G99" s="2">
        <v>2.8128062654635251</v>
      </c>
      <c r="H99" s="2">
        <v>3.1000885849488888</v>
      </c>
      <c r="I99" s="2">
        <v>3.5232218462285161</v>
      </c>
      <c r="J99" s="2">
        <v>3.3174635501287799</v>
      </c>
      <c r="K99" s="2">
        <v>2.9523908552063212</v>
      </c>
      <c r="L99" s="2">
        <v>2.4694887341163771</v>
      </c>
      <c r="M99" s="2">
        <v>2.143314425208342</v>
      </c>
      <c r="N99" s="2"/>
      <c r="O99" s="2"/>
      <c r="P99" s="2"/>
      <c r="Q99" s="2">
        <f t="shared" si="9"/>
        <v>130.98316501762139</v>
      </c>
      <c r="R99" s="2">
        <f t="shared" si="10"/>
        <v>256.22447402751476</v>
      </c>
      <c r="S99" s="2">
        <f t="shared" si="11"/>
        <v>3012.9107406284961</v>
      </c>
      <c r="T99" s="2"/>
      <c r="U99" s="2"/>
      <c r="V99" s="2"/>
      <c r="W99" s="2"/>
      <c r="X99" s="2"/>
      <c r="Y99" s="2"/>
      <c r="Z99" s="2"/>
    </row>
    <row r="100" spans="1:26" x14ac:dyDescent="0.2">
      <c r="A100" s="2">
        <v>13</v>
      </c>
      <c r="B100" s="2">
        <v>260828</v>
      </c>
      <c r="C100" s="2" t="s">
        <v>26</v>
      </c>
      <c r="D100" s="2" t="s">
        <v>20</v>
      </c>
      <c r="E100" s="2" t="s">
        <v>149</v>
      </c>
      <c r="F100" s="2">
        <v>2.3609911504416252</v>
      </c>
      <c r="G100" s="2">
        <v>2.4714040019133998</v>
      </c>
      <c r="H100" s="2">
        <v>2.7444125889412021</v>
      </c>
      <c r="I100" s="2">
        <v>3.077189377690543</v>
      </c>
      <c r="J100" s="2">
        <v>2.731051347539672</v>
      </c>
      <c r="K100" s="2">
        <v>2.3928550091809302</v>
      </c>
      <c r="L100" s="2">
        <v>1.986433581084712</v>
      </c>
      <c r="M100" s="2">
        <v>1.7408590925802241</v>
      </c>
      <c r="N100" s="2"/>
      <c r="O100" s="2"/>
      <c r="P100" s="2"/>
      <c r="Q100" s="2">
        <f t="shared" si="9"/>
        <v>102.63537818701923</v>
      </c>
      <c r="R100" s="2">
        <f t="shared" si="10"/>
        <v>212.37108751458854</v>
      </c>
      <c r="S100" s="2">
        <f t="shared" si="11"/>
        <v>2036.7663370732885</v>
      </c>
      <c r="T100" s="2"/>
      <c r="U100" s="2"/>
      <c r="V100" s="2"/>
      <c r="W100" s="2"/>
      <c r="X100" s="2"/>
      <c r="Y100" s="2"/>
      <c r="Z100" s="2"/>
    </row>
    <row r="101" spans="1:26" x14ac:dyDescent="0.2">
      <c r="A101" s="2">
        <v>13</v>
      </c>
      <c r="B101" s="2">
        <v>260828</v>
      </c>
      <c r="C101" s="2" t="s">
        <v>24</v>
      </c>
      <c r="D101" s="2" t="s">
        <v>20</v>
      </c>
      <c r="E101" s="2" t="s">
        <v>150</v>
      </c>
      <c r="F101" s="2">
        <v>2.3970901805796272</v>
      </c>
      <c r="G101" s="2">
        <v>2.5416553218281641</v>
      </c>
      <c r="H101" s="2">
        <v>2.8358051781999238</v>
      </c>
      <c r="I101" s="2">
        <v>3.1231362624756351</v>
      </c>
      <c r="J101" s="2">
        <v>2.7538677119548081</v>
      </c>
      <c r="K101" s="2">
        <v>2.3960583859834599</v>
      </c>
      <c r="L101" s="2">
        <v>2.002238495509717</v>
      </c>
      <c r="M101" s="2">
        <v>1.7401823243829591</v>
      </c>
      <c r="N101" s="2"/>
      <c r="O101" s="2"/>
      <c r="P101" s="2"/>
      <c r="Q101" s="2">
        <f t="shared" si="9"/>
        <v>105.18732504648852</v>
      </c>
      <c r="R101" s="2">
        <f t="shared" si="10"/>
        <v>223.36560047817187</v>
      </c>
      <c r="S101" s="2">
        <f t="shared" si="11"/>
        <v>2071.2317742701675</v>
      </c>
      <c r="T101" s="2"/>
      <c r="U101" s="2"/>
      <c r="V101" s="2"/>
      <c r="W101" s="2"/>
      <c r="X101" s="2"/>
      <c r="Y101" s="2"/>
      <c r="Z101" s="2"/>
    </row>
    <row r="102" spans="1:26" x14ac:dyDescent="0.2">
      <c r="A102" s="2">
        <v>13</v>
      </c>
      <c r="B102" s="2">
        <v>260828</v>
      </c>
      <c r="C102" s="2" t="s">
        <v>22</v>
      </c>
      <c r="D102" s="2" t="s">
        <v>20</v>
      </c>
      <c r="E102" s="2" t="s">
        <v>151</v>
      </c>
      <c r="F102" s="2">
        <v>1.5356483671878089</v>
      </c>
      <c r="G102" s="2">
        <v>1.679631416452092</v>
      </c>
      <c r="H102" s="2">
        <v>1.894741780998749</v>
      </c>
      <c r="I102" s="2">
        <v>1.9487870966111751</v>
      </c>
      <c r="J102" s="2">
        <v>1.6105980725198541</v>
      </c>
      <c r="K102" s="2">
        <v>1.4172888058071129</v>
      </c>
      <c r="L102" s="2">
        <v>1.2686810509818951</v>
      </c>
      <c r="M102" s="2">
        <v>1.216682523765521</v>
      </c>
      <c r="N102" s="2"/>
      <c r="O102" s="2"/>
      <c r="P102" s="2"/>
      <c r="Q102" s="2">
        <f t="shared" si="9"/>
        <v>51.13095467670118</v>
      </c>
      <c r="R102" s="2">
        <f t="shared" si="10"/>
        <v>119.90565826312502</v>
      </c>
      <c r="S102" s="2">
        <f t="shared" si="11"/>
        <v>696.58510048103574</v>
      </c>
      <c r="T102" s="2"/>
      <c r="U102" s="2"/>
      <c r="V102" s="2"/>
      <c r="W102" s="2"/>
      <c r="X102" s="2"/>
      <c r="Y102" s="2"/>
      <c r="Z102" s="2"/>
    </row>
    <row r="103" spans="1:26" x14ac:dyDescent="0.2">
      <c r="A103" s="2">
        <v>13</v>
      </c>
      <c r="B103" s="2">
        <v>260828</v>
      </c>
      <c r="C103" s="2" t="s">
        <v>19</v>
      </c>
      <c r="D103" s="2" t="s">
        <v>20</v>
      </c>
      <c r="E103" s="2" t="s">
        <v>152</v>
      </c>
      <c r="F103" s="2">
        <v>1.445776860456186</v>
      </c>
      <c r="G103" s="2">
        <v>1.584505381861228</v>
      </c>
      <c r="H103" s="2">
        <v>1.7680245758493529</v>
      </c>
      <c r="I103" s="2">
        <v>1.770864905042477</v>
      </c>
      <c r="J103" s="2">
        <v>1.4718228595638541</v>
      </c>
      <c r="K103" s="2">
        <v>1.3234824291987941</v>
      </c>
      <c r="L103" s="2">
        <v>1.252867866024945</v>
      </c>
      <c r="M103" s="2">
        <v>1.279730332123967</v>
      </c>
      <c r="N103" s="2"/>
      <c r="O103" s="2"/>
      <c r="P103" s="2"/>
      <c r="Q103" s="2">
        <f t="shared" si="9"/>
        <v>46.366918458731774</v>
      </c>
      <c r="R103" s="2">
        <f t="shared" si="10"/>
        <v>107.73945526037099</v>
      </c>
      <c r="S103" s="2">
        <f t="shared" si="11"/>
        <v>578.93755390621118</v>
      </c>
      <c r="T103" s="2"/>
      <c r="U103" s="2"/>
      <c r="V103" s="2"/>
      <c r="W103" s="2"/>
      <c r="X103" s="2"/>
      <c r="Y103" s="2"/>
      <c r="Z103" s="2"/>
    </row>
    <row r="104" spans="1:26" x14ac:dyDescent="0.2"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53"/>
  <sheetViews>
    <sheetView workbookViewId="0">
      <selection activeCell="P19" sqref="P19"/>
    </sheetView>
  </sheetViews>
  <sheetFormatPr baseColWidth="10" defaultRowHeight="14" x14ac:dyDescent="0.15"/>
  <cols>
    <col min="1" max="4" width="10.83203125" style="2" customWidth="1"/>
    <col min="5" max="5" width="25.1640625" style="2" customWidth="1"/>
    <col min="6" max="6" width="17.33203125" style="2" customWidth="1"/>
    <col min="7" max="20" width="10.83203125" style="2" customWidth="1"/>
    <col min="21" max="21" width="25.6640625" style="2" customWidth="1"/>
    <col min="22" max="30" width="10.83203125" style="2" customWidth="1"/>
    <col min="31" max="31" width="62.5" style="2" customWidth="1"/>
    <col min="32" max="33" width="10.83203125" style="2" customWidth="1"/>
    <col min="34" max="16384" width="10.83203125" style="2"/>
  </cols>
  <sheetData>
    <row r="1" spans="1:31" x14ac:dyDescent="0.1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7" t="s">
        <v>153</v>
      </c>
      <c r="P1" s="8"/>
      <c r="Q1" s="8"/>
      <c r="AE1" s="2" t="s">
        <v>153</v>
      </c>
    </row>
    <row r="2" spans="1:31" x14ac:dyDescent="0.15">
      <c r="A2" s="8">
        <v>2</v>
      </c>
      <c r="B2" s="8">
        <v>260603</v>
      </c>
      <c r="C2" s="8" t="s">
        <v>36</v>
      </c>
      <c r="D2" s="8" t="s">
        <v>20</v>
      </c>
      <c r="E2" s="8" t="s">
        <v>38</v>
      </c>
      <c r="F2" s="8">
        <v>11.7</v>
      </c>
      <c r="G2" s="8">
        <v>2.398001285323188</v>
      </c>
      <c r="H2" s="8">
        <v>2.7359715285544781</v>
      </c>
      <c r="I2" s="8">
        <v>2.9007447744811161</v>
      </c>
      <c r="J2" s="8">
        <v>2.8404954587947748</v>
      </c>
      <c r="K2" s="8">
        <v>2.2260574046888699</v>
      </c>
      <c r="L2" s="8">
        <v>1.95505840522604</v>
      </c>
      <c r="M2" s="8">
        <v>1.657678111219038</v>
      </c>
      <c r="N2" s="8">
        <v>1.5638108578315171</v>
      </c>
      <c r="O2" s="8" t="s">
        <v>154</v>
      </c>
      <c r="P2" s="8"/>
      <c r="Q2" s="8"/>
    </row>
    <row r="3" spans="1:31" x14ac:dyDescent="0.15">
      <c r="A3" s="8">
        <v>2</v>
      </c>
      <c r="B3" s="8">
        <v>260603</v>
      </c>
      <c r="C3" s="8" t="s">
        <v>19</v>
      </c>
      <c r="D3" s="8" t="s">
        <v>20</v>
      </c>
      <c r="E3" s="8" t="s">
        <v>39</v>
      </c>
      <c r="F3" s="8">
        <v>4.2</v>
      </c>
      <c r="G3" s="8">
        <v>1.9754335784580681</v>
      </c>
      <c r="H3" s="8">
        <v>2.3021579340357552</v>
      </c>
      <c r="I3" s="8">
        <v>2.1906084822830429</v>
      </c>
      <c r="J3" s="8">
        <v>1.794615055134144</v>
      </c>
      <c r="K3" s="8">
        <v>1.381167281653745</v>
      </c>
      <c r="L3" s="8">
        <v>1.237831548591606</v>
      </c>
      <c r="M3" s="8">
        <v>1.140692467974824</v>
      </c>
      <c r="N3" s="8">
        <v>1.0848474064293581</v>
      </c>
      <c r="O3" s="8" t="s">
        <v>155</v>
      </c>
      <c r="P3" s="8"/>
      <c r="Q3" s="8"/>
    </row>
    <row r="4" spans="1:31" x14ac:dyDescent="0.15">
      <c r="A4" s="8">
        <v>2</v>
      </c>
      <c r="B4" s="8">
        <v>260603</v>
      </c>
      <c r="C4" s="8" t="s">
        <v>22</v>
      </c>
      <c r="D4" s="8" t="s">
        <v>20</v>
      </c>
      <c r="E4" s="8" t="s">
        <v>40</v>
      </c>
      <c r="F4" s="8">
        <v>3.4</v>
      </c>
      <c r="G4" s="8">
        <v>1.9970119751242059</v>
      </c>
      <c r="H4" s="8">
        <v>2.2233458623727298</v>
      </c>
      <c r="I4" s="8">
        <v>2.2685010747628951</v>
      </c>
      <c r="J4" s="8">
        <v>1.998628278172482</v>
      </c>
      <c r="K4" s="8">
        <v>1.634105292420164</v>
      </c>
      <c r="L4" s="8">
        <v>1.4725624728200271</v>
      </c>
      <c r="M4" s="8">
        <v>1.31358448948606</v>
      </c>
      <c r="N4" s="8">
        <v>1.24621830269356</v>
      </c>
      <c r="O4" s="8" t="s">
        <v>156</v>
      </c>
      <c r="P4" s="8"/>
      <c r="Q4" s="8"/>
    </row>
    <row r="5" spans="1:31" x14ac:dyDescent="0.15">
      <c r="A5" s="8">
        <v>2</v>
      </c>
      <c r="B5" s="8">
        <v>260603</v>
      </c>
      <c r="C5" s="8" t="s">
        <v>24</v>
      </c>
      <c r="D5" s="8" t="s">
        <v>20</v>
      </c>
      <c r="E5" s="8" t="s">
        <v>41</v>
      </c>
      <c r="F5" s="8">
        <v>2.4</v>
      </c>
      <c r="G5" s="8">
        <v>6.3154597709349458</v>
      </c>
      <c r="H5" s="8">
        <v>6.8413731079576454</v>
      </c>
      <c r="I5" s="8">
        <v>1.7878569308385901</v>
      </c>
      <c r="J5" s="8">
        <v>1.784550613652188</v>
      </c>
      <c r="K5" s="8">
        <v>1.9765794227223681</v>
      </c>
      <c r="L5" s="8">
        <v>1.739365531688934</v>
      </c>
      <c r="M5" s="8">
        <v>1.4959115754686461</v>
      </c>
      <c r="N5" s="8">
        <v>1.404175709268874</v>
      </c>
      <c r="O5" s="8" t="s">
        <v>157</v>
      </c>
      <c r="P5" s="8"/>
      <c r="Q5" s="8"/>
    </row>
    <row r="6" spans="1:31" x14ac:dyDescent="0.15">
      <c r="A6" s="8">
        <v>2</v>
      </c>
      <c r="B6" s="8">
        <v>260603</v>
      </c>
      <c r="C6" s="8" t="s">
        <v>43</v>
      </c>
      <c r="D6" s="8" t="s">
        <v>20</v>
      </c>
      <c r="E6" s="8" t="s">
        <v>44</v>
      </c>
      <c r="F6" s="8">
        <v>2.8</v>
      </c>
      <c r="G6" s="8">
        <v>2.1289243155370561</v>
      </c>
      <c r="H6" s="8">
        <v>2.2215953930195829</v>
      </c>
      <c r="I6" s="8">
        <v>2.2379835297315949</v>
      </c>
      <c r="J6" s="8">
        <v>2.3922878442083668</v>
      </c>
      <c r="K6" s="8">
        <v>2.1385075681202288</v>
      </c>
      <c r="L6" s="8">
        <v>1.941385145828723</v>
      </c>
      <c r="M6" s="8">
        <v>1.741127014616052</v>
      </c>
      <c r="N6" s="8">
        <v>1.6312202747029561</v>
      </c>
      <c r="O6" s="8"/>
      <c r="P6" s="8"/>
      <c r="Q6" s="8"/>
    </row>
    <row r="7" spans="1:31" x14ac:dyDescent="0.15">
      <c r="A7" s="8">
        <v>3</v>
      </c>
      <c r="B7" s="8">
        <v>260610</v>
      </c>
      <c r="C7" s="8" t="s">
        <v>45</v>
      </c>
      <c r="D7" s="8" t="s">
        <v>20</v>
      </c>
      <c r="E7" s="8" t="s">
        <v>46</v>
      </c>
      <c r="F7" s="8">
        <v>7</v>
      </c>
      <c r="G7" s="8">
        <v>1.3798652578615871</v>
      </c>
      <c r="H7" s="8">
        <v>1.6004900707651419</v>
      </c>
      <c r="I7" s="8">
        <v>1.4185815304944871</v>
      </c>
      <c r="J7" s="8">
        <v>1.20600799612173</v>
      </c>
      <c r="K7" s="8">
        <v>1.0308674442590109</v>
      </c>
      <c r="L7" s="8">
        <v>1.0118494140198431</v>
      </c>
      <c r="M7" s="8">
        <v>1.089425697136063</v>
      </c>
      <c r="N7" s="8">
        <v>1.2393827474867469</v>
      </c>
      <c r="O7" s="8" t="s">
        <v>158</v>
      </c>
      <c r="P7" s="8"/>
      <c r="Q7" s="8"/>
    </row>
    <row r="8" spans="1:31" x14ac:dyDescent="0.15">
      <c r="A8" s="8">
        <v>3</v>
      </c>
      <c r="B8" s="8">
        <v>260610</v>
      </c>
      <c r="C8" s="8" t="s">
        <v>47</v>
      </c>
      <c r="D8" s="8" t="s">
        <v>20</v>
      </c>
      <c r="E8" s="8" t="s">
        <v>48</v>
      </c>
      <c r="F8" s="8">
        <v>8.6000000000000014</v>
      </c>
      <c r="G8" s="8">
        <v>1.331178166906837</v>
      </c>
      <c r="H8" s="8">
        <v>1.5180319849892721</v>
      </c>
      <c r="I8" s="8">
        <v>1.4319290869884951</v>
      </c>
      <c r="J8" s="8">
        <v>1.233809695484799</v>
      </c>
      <c r="K8" s="8">
        <v>1.03583748972303</v>
      </c>
      <c r="L8" s="8">
        <v>1.007728366582417</v>
      </c>
      <c r="M8" s="8">
        <v>1.070606619013124</v>
      </c>
      <c r="N8" s="8">
        <v>1.1968921927763521</v>
      </c>
      <c r="O8" s="8" t="s">
        <v>159</v>
      </c>
      <c r="P8" s="8"/>
      <c r="Q8" s="8"/>
    </row>
    <row r="9" spans="1:31" x14ac:dyDescent="0.15">
      <c r="A9" s="8">
        <v>3</v>
      </c>
      <c r="B9" s="8">
        <v>260610</v>
      </c>
      <c r="C9" s="8" t="s">
        <v>49</v>
      </c>
      <c r="D9" s="8" t="s">
        <v>20</v>
      </c>
      <c r="E9" s="8" t="s">
        <v>50</v>
      </c>
      <c r="F9" s="8">
        <v>15.7</v>
      </c>
      <c r="G9" s="8">
        <v>1.6497629239904199</v>
      </c>
      <c r="H9" s="8">
        <v>1.813128933252937</v>
      </c>
      <c r="I9" s="8">
        <v>1.8232712980253769</v>
      </c>
      <c r="J9" s="8">
        <v>1.6965352881788029</v>
      </c>
      <c r="K9" s="8">
        <v>1.3966631454874081</v>
      </c>
      <c r="L9" s="8">
        <v>1.286440561429776</v>
      </c>
      <c r="M9" s="8">
        <v>1.299701342907736</v>
      </c>
      <c r="N9" s="8">
        <v>1.4139714906780321</v>
      </c>
      <c r="O9" s="8"/>
      <c r="P9" s="8"/>
      <c r="Q9" s="8"/>
    </row>
    <row r="10" spans="1:31" x14ac:dyDescent="0.15">
      <c r="A10" s="8">
        <v>3</v>
      </c>
      <c r="B10" s="8">
        <v>260610</v>
      </c>
      <c r="C10" s="8" t="s">
        <v>53</v>
      </c>
      <c r="D10" s="8" t="s">
        <v>20</v>
      </c>
      <c r="E10" s="8" t="s">
        <v>54</v>
      </c>
      <c r="F10" s="8">
        <v>9.1000000000000014</v>
      </c>
      <c r="G10" s="8">
        <v>2.042583169242957</v>
      </c>
      <c r="H10" s="8">
        <v>2.4288471348780609</v>
      </c>
      <c r="I10" s="8">
        <v>2.4648903702764531</v>
      </c>
      <c r="J10" s="8">
        <v>2.150956376060996</v>
      </c>
      <c r="K10" s="8">
        <v>1.699454345276777</v>
      </c>
      <c r="L10" s="8">
        <v>1.524835832585139</v>
      </c>
      <c r="M10" s="8">
        <v>1.4249679854915089</v>
      </c>
      <c r="N10" s="8">
        <v>1.4239783113026629</v>
      </c>
      <c r="O10" s="8"/>
      <c r="P10" s="8"/>
      <c r="Q10" s="8"/>
    </row>
    <row r="11" spans="1:31" x14ac:dyDescent="0.15">
      <c r="A11" s="8">
        <v>3</v>
      </c>
      <c r="B11" s="8">
        <v>260610</v>
      </c>
      <c r="C11" s="8" t="s">
        <v>32</v>
      </c>
      <c r="D11" s="8" t="s">
        <v>20</v>
      </c>
      <c r="E11" s="8" t="s">
        <v>55</v>
      </c>
      <c r="F11" s="8">
        <v>15</v>
      </c>
      <c r="G11" s="8">
        <v>2.3558070055390692</v>
      </c>
      <c r="H11" s="8">
        <v>2.5655909826553791</v>
      </c>
      <c r="I11" s="8">
        <v>2.7640731513505301</v>
      </c>
      <c r="J11" s="8">
        <v>2.826443141778749</v>
      </c>
      <c r="K11" s="8">
        <v>2.4753108565470039</v>
      </c>
      <c r="L11" s="8">
        <v>2.2407957363081632</v>
      </c>
      <c r="M11" s="8">
        <v>2.078289169112451</v>
      </c>
      <c r="N11" s="8">
        <v>2.0435055935326121</v>
      </c>
      <c r="O11" s="8"/>
      <c r="P11" s="8"/>
      <c r="Q11" s="8"/>
    </row>
    <row r="12" spans="1:31" x14ac:dyDescent="0.15">
      <c r="A12" s="8">
        <v>3</v>
      </c>
      <c r="B12" s="8">
        <v>260610</v>
      </c>
      <c r="C12" s="8" t="s">
        <v>34</v>
      </c>
      <c r="D12" s="8" t="s">
        <v>20</v>
      </c>
      <c r="E12" s="8" t="s">
        <v>56</v>
      </c>
      <c r="F12" s="8">
        <v>13.3</v>
      </c>
      <c r="G12" s="8">
        <v>1.805335446668203</v>
      </c>
      <c r="H12" s="8">
        <v>1.9817771299361511</v>
      </c>
      <c r="I12" s="8">
        <v>1.819222100036076</v>
      </c>
      <c r="J12" s="8">
        <v>1.9097392845258301</v>
      </c>
      <c r="K12" s="8">
        <v>1.808768665785782</v>
      </c>
      <c r="L12" s="8">
        <v>1.614359807726419</v>
      </c>
      <c r="M12" s="8">
        <v>1.515963370614138</v>
      </c>
      <c r="N12" s="8">
        <v>1.5252726086701329</v>
      </c>
      <c r="O12" s="8" t="s">
        <v>157</v>
      </c>
      <c r="P12" s="8"/>
      <c r="Q12" s="8"/>
    </row>
    <row r="13" spans="1:31" x14ac:dyDescent="0.15">
      <c r="A13" s="8">
        <v>6</v>
      </c>
      <c r="B13" s="8">
        <v>260702</v>
      </c>
      <c r="C13" s="8" t="s">
        <v>45</v>
      </c>
      <c r="D13" s="8" t="s">
        <v>60</v>
      </c>
      <c r="E13" s="8" t="s">
        <v>89</v>
      </c>
      <c r="F13" s="8">
        <v>3.2</v>
      </c>
      <c r="G13" s="8">
        <v>0.94436504267443422</v>
      </c>
      <c r="H13" s="8">
        <v>0.94189377033034571</v>
      </c>
      <c r="I13" s="8">
        <v>0.78573205847141936</v>
      </c>
      <c r="J13" s="8">
        <v>0.6657603537346064</v>
      </c>
      <c r="K13" s="8">
        <v>0.60499627405455803</v>
      </c>
      <c r="L13" s="8">
        <v>0.65513143958119113</v>
      </c>
      <c r="M13" s="8">
        <v>0.75771684627212765</v>
      </c>
      <c r="N13" s="8">
        <v>0.91625450908172446</v>
      </c>
      <c r="O13" s="8" t="s">
        <v>160</v>
      </c>
      <c r="P13" s="8"/>
      <c r="Q13" s="8"/>
    </row>
    <row r="14" spans="1:31" x14ac:dyDescent="0.15">
      <c r="A14" s="8">
        <v>6</v>
      </c>
      <c r="B14" s="8">
        <v>260702</v>
      </c>
      <c r="C14" s="8" t="s">
        <v>90</v>
      </c>
      <c r="D14" s="8" t="s">
        <v>60</v>
      </c>
      <c r="E14" s="8" t="s">
        <v>91</v>
      </c>
      <c r="F14" s="8">
        <v>4.4000000000000004</v>
      </c>
      <c r="G14" s="8">
        <v>1.285676486432471</v>
      </c>
      <c r="H14" s="8">
        <v>1.368582885426237</v>
      </c>
      <c r="I14" s="8">
        <v>1.2817682082935631</v>
      </c>
      <c r="J14" s="8">
        <v>1.095770803688505</v>
      </c>
      <c r="K14" s="8">
        <v>0.94403074818321242</v>
      </c>
      <c r="L14" s="8">
        <v>0.95728759750088721</v>
      </c>
      <c r="M14" s="8">
        <v>1.055294705793405</v>
      </c>
      <c r="N14" s="8">
        <v>1.1957829353078451</v>
      </c>
      <c r="O14" s="8" t="s">
        <v>161</v>
      </c>
      <c r="P14" s="8"/>
      <c r="Q14" s="8"/>
    </row>
    <row r="15" spans="1:31" x14ac:dyDescent="0.15">
      <c r="A15" s="8">
        <v>6</v>
      </c>
      <c r="B15" s="8">
        <v>260702</v>
      </c>
      <c r="C15" s="8" t="s">
        <v>34</v>
      </c>
      <c r="D15" s="8" t="s">
        <v>60</v>
      </c>
      <c r="E15" s="8" t="s">
        <v>98</v>
      </c>
      <c r="F15" s="8">
        <v>17.2</v>
      </c>
      <c r="G15" s="8">
        <v>2.1794971586212069</v>
      </c>
      <c r="H15" s="8">
        <v>2.406478403663884</v>
      </c>
      <c r="I15" s="8">
        <v>2.5164279757067489</v>
      </c>
      <c r="J15" s="8">
        <v>2.3153177013556121</v>
      </c>
      <c r="K15" s="8">
        <v>1.863512352412749</v>
      </c>
      <c r="L15" s="8">
        <v>1.732049973295525</v>
      </c>
      <c r="M15" s="8">
        <v>1.6612830518630379</v>
      </c>
      <c r="N15" s="8">
        <v>1.712162966927451</v>
      </c>
      <c r="O15" s="8" t="s">
        <v>157</v>
      </c>
      <c r="P15" s="8"/>
      <c r="Q15" s="8"/>
    </row>
    <row r="16" spans="1:31" x14ac:dyDescent="0.15">
      <c r="A16" s="8">
        <v>6</v>
      </c>
      <c r="B16" s="8">
        <v>260702</v>
      </c>
      <c r="C16" s="8" t="s">
        <v>32</v>
      </c>
      <c r="D16" s="8" t="s">
        <v>60</v>
      </c>
      <c r="E16" s="8" t="s">
        <v>99</v>
      </c>
      <c r="F16" s="8">
        <v>22.13</v>
      </c>
      <c r="G16" s="8">
        <v>1.884321081569122</v>
      </c>
      <c r="H16" s="8">
        <v>2.056808721595424</v>
      </c>
      <c r="I16" s="8">
        <v>2.2175783044036859</v>
      </c>
      <c r="J16" s="8">
        <v>2.0838405017181829</v>
      </c>
      <c r="K16" s="8">
        <v>1.6992036853019681</v>
      </c>
      <c r="L16" s="8">
        <v>1.5692470119555251</v>
      </c>
      <c r="M16" s="8">
        <v>1.5173142472445831</v>
      </c>
      <c r="N16" s="8">
        <v>1.5737045605954501</v>
      </c>
      <c r="O16" s="8"/>
      <c r="P16" s="8"/>
      <c r="Q16" s="8"/>
    </row>
    <row r="17" spans="1:17" x14ac:dyDescent="0.15">
      <c r="A17" s="8">
        <v>7</v>
      </c>
      <c r="B17" s="8">
        <v>260709</v>
      </c>
      <c r="C17" s="8" t="s">
        <v>36</v>
      </c>
      <c r="D17" s="8" t="s">
        <v>60</v>
      </c>
      <c r="E17" s="8" t="s">
        <v>100</v>
      </c>
      <c r="F17" s="8">
        <v>6.27</v>
      </c>
      <c r="G17" s="8">
        <v>2.3957447174942779</v>
      </c>
      <c r="H17" s="8">
        <v>2.4385592707526502</v>
      </c>
      <c r="I17" s="8">
        <v>2.8285741084756628</v>
      </c>
      <c r="J17" s="8">
        <v>2.7785097360088709</v>
      </c>
      <c r="K17" s="8">
        <v>2.670348214567499</v>
      </c>
      <c r="L17" s="8">
        <v>2.338441358728089</v>
      </c>
      <c r="M17" s="8">
        <v>2.165224231285376</v>
      </c>
      <c r="N17" s="8">
        <v>2.0010104690623831</v>
      </c>
      <c r="O17" s="8" t="s">
        <v>162</v>
      </c>
      <c r="P17" s="8"/>
      <c r="Q17" s="8"/>
    </row>
    <row r="18" spans="1:17" x14ac:dyDescent="0.15">
      <c r="A18" s="8">
        <v>7</v>
      </c>
      <c r="B18" s="8">
        <v>260709</v>
      </c>
      <c r="C18" s="8" t="s">
        <v>19</v>
      </c>
      <c r="D18" s="8" t="s">
        <v>60</v>
      </c>
      <c r="E18" s="8" t="s">
        <v>101</v>
      </c>
      <c r="F18" s="8">
        <v>23.47</v>
      </c>
      <c r="G18" s="8">
        <v>2.002085416671525</v>
      </c>
      <c r="H18" s="8">
        <v>2.2691532488051989</v>
      </c>
      <c r="I18" s="8">
        <v>2.3051349712761682</v>
      </c>
      <c r="J18" s="8">
        <v>2.0936249059438801</v>
      </c>
      <c r="K18" s="8">
        <v>1.685522448285969</v>
      </c>
      <c r="L18" s="8">
        <v>1.6081588415725321</v>
      </c>
      <c r="M18" s="8">
        <v>1.5467499712584269</v>
      </c>
      <c r="N18" s="8">
        <v>1.5426175402986471</v>
      </c>
      <c r="O18" s="8"/>
      <c r="P18" s="8"/>
      <c r="Q18" s="8"/>
    </row>
    <row r="19" spans="1:17" x14ac:dyDescent="0.15">
      <c r="A19" s="8">
        <v>7</v>
      </c>
      <c r="B19" s="8">
        <v>260709</v>
      </c>
      <c r="C19" s="8" t="s">
        <v>70</v>
      </c>
      <c r="D19" s="8" t="s">
        <v>60</v>
      </c>
      <c r="E19" s="8" t="s">
        <v>104</v>
      </c>
      <c r="F19" s="8">
        <v>3.73</v>
      </c>
      <c r="G19" s="8">
        <v>2.8705770967667581</v>
      </c>
      <c r="H19" s="8">
        <v>2.9549974011623972</v>
      </c>
      <c r="I19" s="8">
        <v>3.2499959678210382</v>
      </c>
      <c r="J19" s="8">
        <v>3.4604604515270778</v>
      </c>
      <c r="K19" s="8">
        <v>3.0834763885814169</v>
      </c>
      <c r="L19" s="8">
        <v>2.8046129214430531</v>
      </c>
      <c r="M19" s="8">
        <v>2.435095367805614</v>
      </c>
      <c r="N19" s="8">
        <v>2.164501276385375</v>
      </c>
      <c r="O19" s="8"/>
      <c r="P19" s="8"/>
      <c r="Q19" s="8"/>
    </row>
    <row r="23" spans="1:17" x14ac:dyDescent="0.15">
      <c r="A23" s="2">
        <v>7</v>
      </c>
      <c r="B23" s="2">
        <v>260709</v>
      </c>
      <c r="C23" s="2" t="s">
        <v>72</v>
      </c>
      <c r="D23" s="2" t="s">
        <v>60</v>
      </c>
      <c r="E23" s="2" t="s">
        <v>105</v>
      </c>
      <c r="F23" s="2">
        <v>3.73</v>
      </c>
      <c r="G23" s="2">
        <v>4.0661700412766972</v>
      </c>
      <c r="H23" s="2">
        <v>4.9262963353873266</v>
      </c>
      <c r="I23" s="2">
        <v>2.7448467691620819</v>
      </c>
      <c r="J23" s="2">
        <v>4.3949057710946038</v>
      </c>
      <c r="K23" s="2">
        <v>3.8592405728884329</v>
      </c>
      <c r="L23" s="2">
        <v>2.7005248913758981</v>
      </c>
      <c r="M23" s="2">
        <v>2.435374989024754</v>
      </c>
      <c r="N23" s="2">
        <v>2.3411729427859682</v>
      </c>
      <c r="O23" s="2" t="s">
        <v>163</v>
      </c>
    </row>
    <row r="25" spans="1:17" x14ac:dyDescent="0.15">
      <c r="A25" s="2">
        <v>2</v>
      </c>
      <c r="B25" s="2">
        <v>260603</v>
      </c>
      <c r="C25" s="2" t="s">
        <v>36</v>
      </c>
      <c r="D25" s="2" t="s">
        <v>20</v>
      </c>
      <c r="E25" s="2" t="s">
        <v>38</v>
      </c>
      <c r="F25" s="2">
        <v>11.7</v>
      </c>
      <c r="G25" s="2">
        <v>2.398001285323188</v>
      </c>
      <c r="H25" s="2">
        <v>2.7359715285544781</v>
      </c>
      <c r="I25" s="2">
        <v>2.9007447744811161</v>
      </c>
      <c r="J25" s="2">
        <v>2.8404954587947748</v>
      </c>
      <c r="K25" s="2">
        <v>2.2260574046888699</v>
      </c>
      <c r="L25" s="2">
        <v>1.95505840522604</v>
      </c>
      <c r="M25" s="2">
        <v>1.657678111219038</v>
      </c>
      <c r="N25" s="2">
        <v>1.5638108578315171</v>
      </c>
    </row>
    <row r="26" spans="1:17" x14ac:dyDescent="0.15">
      <c r="A26" s="2">
        <v>2</v>
      </c>
      <c r="B26" s="2">
        <v>260603</v>
      </c>
      <c r="C26" s="2" t="s">
        <v>19</v>
      </c>
      <c r="D26" s="2" t="s">
        <v>20</v>
      </c>
      <c r="E26" s="2" t="s">
        <v>39</v>
      </c>
      <c r="F26" s="2">
        <v>4.2</v>
      </c>
      <c r="G26" s="2">
        <v>1.9754335784580681</v>
      </c>
      <c r="H26" s="2">
        <v>2.3021579340357552</v>
      </c>
      <c r="I26" s="2">
        <v>2.1906084822830429</v>
      </c>
      <c r="J26" s="2">
        <v>1.794615055134144</v>
      </c>
      <c r="K26" s="2">
        <v>1.381167281653745</v>
      </c>
      <c r="L26" s="2">
        <v>1.237831548591606</v>
      </c>
      <c r="M26" s="2">
        <v>1.140692467974824</v>
      </c>
      <c r="N26" s="2">
        <v>1.0848474064293581</v>
      </c>
    </row>
    <row r="27" spans="1:17" x14ac:dyDescent="0.15">
      <c r="A27" s="2">
        <v>2</v>
      </c>
      <c r="B27" s="2">
        <v>260603</v>
      </c>
      <c r="C27" s="2" t="s">
        <v>22</v>
      </c>
      <c r="D27" s="2" t="s">
        <v>20</v>
      </c>
      <c r="E27" s="2" t="s">
        <v>40</v>
      </c>
      <c r="F27" s="2">
        <v>3.4</v>
      </c>
      <c r="G27" s="2">
        <v>1.9970119751242059</v>
      </c>
      <c r="H27" s="2">
        <v>2.2233458623727298</v>
      </c>
      <c r="I27" s="2">
        <v>2.2685010747628951</v>
      </c>
      <c r="J27" s="2">
        <v>1.998628278172482</v>
      </c>
      <c r="K27" s="2">
        <v>1.634105292420164</v>
      </c>
      <c r="L27" s="2">
        <v>1.4725624728200271</v>
      </c>
      <c r="M27" s="2">
        <v>1.31358448948606</v>
      </c>
      <c r="N27" s="2">
        <v>1.24621830269356</v>
      </c>
    </row>
    <row r="28" spans="1:17" x14ac:dyDescent="0.15">
      <c r="A28" s="2">
        <v>2</v>
      </c>
      <c r="B28" s="2">
        <v>260603</v>
      </c>
      <c r="C28" s="2" t="s">
        <v>24</v>
      </c>
      <c r="D28" s="2" t="s">
        <v>20</v>
      </c>
      <c r="E28" s="2" t="s">
        <v>41</v>
      </c>
      <c r="F28" s="2">
        <v>2.4</v>
      </c>
      <c r="G28" s="2">
        <v>6.3154597709349458</v>
      </c>
      <c r="H28" s="2">
        <v>6.8413731079576454</v>
      </c>
      <c r="I28" s="2">
        <v>1.7878569308385901</v>
      </c>
      <c r="J28" s="2">
        <v>1.784550613652188</v>
      </c>
      <c r="K28" s="2">
        <v>1.9765794227223681</v>
      </c>
      <c r="L28" s="2">
        <v>1.739365531688934</v>
      </c>
      <c r="M28" s="2">
        <v>1.4959115754686461</v>
      </c>
      <c r="N28" s="2">
        <v>1.404175709268874</v>
      </c>
    </row>
    <row r="29" spans="1:17" x14ac:dyDescent="0.15">
      <c r="A29" s="2">
        <v>2</v>
      </c>
      <c r="B29" s="2">
        <v>260603</v>
      </c>
      <c r="C29" s="2" t="s">
        <v>26</v>
      </c>
      <c r="D29" s="2" t="s">
        <v>20</v>
      </c>
      <c r="E29" s="2" t="s">
        <v>42</v>
      </c>
      <c r="F29" s="2">
        <v>3.600000000000001</v>
      </c>
      <c r="G29" s="2">
        <v>2.3415400898711849</v>
      </c>
      <c r="H29" s="2">
        <v>2.616888026272294</v>
      </c>
      <c r="I29" s="2">
        <v>2.7502224676023781</v>
      </c>
      <c r="J29" s="2">
        <v>2.5440837856638971</v>
      </c>
      <c r="K29" s="2">
        <v>2.052388581612445</v>
      </c>
      <c r="L29" s="2">
        <v>1.7851922318611591</v>
      </c>
      <c r="M29" s="2">
        <v>1.5270786928737849</v>
      </c>
      <c r="N29" s="2">
        <v>1.3862357661405029</v>
      </c>
    </row>
    <row r="30" spans="1:17" x14ac:dyDescent="0.15">
      <c r="A30" s="2">
        <v>2</v>
      </c>
      <c r="B30" s="2">
        <v>260603</v>
      </c>
      <c r="C30" s="2" t="s">
        <v>43</v>
      </c>
      <c r="D30" s="2" t="s">
        <v>20</v>
      </c>
      <c r="E30" s="2" t="s">
        <v>44</v>
      </c>
      <c r="F30" s="2">
        <v>2.8</v>
      </c>
      <c r="G30" s="2">
        <v>2.1289243155370561</v>
      </c>
      <c r="H30" s="2">
        <v>2.2215953930195829</v>
      </c>
      <c r="I30" s="2">
        <v>2.2379835297315949</v>
      </c>
      <c r="J30" s="2">
        <v>2.3922878442083668</v>
      </c>
      <c r="K30" s="2">
        <v>2.1385075681202288</v>
      </c>
      <c r="L30" s="2">
        <v>1.941385145828723</v>
      </c>
      <c r="M30" s="2">
        <v>1.741127014616052</v>
      </c>
      <c r="N30" s="2">
        <v>1.6312202747029561</v>
      </c>
    </row>
    <row r="31" spans="1:17" x14ac:dyDescent="0.15">
      <c r="A31" s="2">
        <v>3</v>
      </c>
      <c r="B31" s="2">
        <v>260610</v>
      </c>
      <c r="C31" s="2" t="s">
        <v>45</v>
      </c>
      <c r="D31" s="2" t="s">
        <v>20</v>
      </c>
      <c r="E31" s="2" t="s">
        <v>46</v>
      </c>
      <c r="F31" s="2">
        <v>7</v>
      </c>
      <c r="G31" s="2">
        <v>1.3798652578615871</v>
      </c>
      <c r="H31" s="2">
        <v>1.6004900707651419</v>
      </c>
      <c r="I31" s="2">
        <v>1.4185815304944871</v>
      </c>
      <c r="J31" s="2">
        <v>1.20600799612173</v>
      </c>
      <c r="K31" s="2">
        <v>1.0308674442590109</v>
      </c>
      <c r="L31" s="2">
        <v>1.0118494140198431</v>
      </c>
      <c r="M31" s="2">
        <v>1.089425697136063</v>
      </c>
      <c r="N31" s="2">
        <v>1.2393827474867469</v>
      </c>
    </row>
    <row r="32" spans="1:17" x14ac:dyDescent="0.15">
      <c r="A32" s="2">
        <v>3</v>
      </c>
      <c r="B32" s="2">
        <v>260610</v>
      </c>
      <c r="C32" s="2" t="s">
        <v>47</v>
      </c>
      <c r="D32" s="2" t="s">
        <v>20</v>
      </c>
      <c r="E32" s="2" t="s">
        <v>48</v>
      </c>
      <c r="F32" s="2">
        <v>8.6000000000000014</v>
      </c>
      <c r="G32" s="2">
        <v>1.331178166906837</v>
      </c>
      <c r="H32" s="2">
        <v>1.5180319849892721</v>
      </c>
      <c r="I32" s="2">
        <v>1.4319290869884951</v>
      </c>
      <c r="J32" s="2">
        <v>1.233809695484799</v>
      </c>
      <c r="K32" s="2">
        <v>1.03583748972303</v>
      </c>
      <c r="L32" s="2">
        <v>1.007728366582417</v>
      </c>
      <c r="M32" s="2">
        <v>1.070606619013124</v>
      </c>
      <c r="N32" s="2">
        <v>1.1968921927763521</v>
      </c>
    </row>
    <row r="33" spans="1:14" x14ac:dyDescent="0.15">
      <c r="A33" s="2">
        <v>3</v>
      </c>
      <c r="B33" s="2">
        <v>260610</v>
      </c>
      <c r="C33" s="2" t="s">
        <v>49</v>
      </c>
      <c r="D33" s="2" t="s">
        <v>20</v>
      </c>
      <c r="E33" s="2" t="s">
        <v>50</v>
      </c>
      <c r="F33" s="2">
        <v>15.7</v>
      </c>
      <c r="G33" s="2">
        <v>1.6497629239904199</v>
      </c>
      <c r="H33" s="2">
        <v>1.813128933252937</v>
      </c>
      <c r="I33" s="2">
        <v>1.8232712980253769</v>
      </c>
      <c r="J33" s="2">
        <v>1.6965352881788029</v>
      </c>
      <c r="K33" s="2">
        <v>1.3966631454874081</v>
      </c>
      <c r="L33" s="2">
        <v>1.286440561429776</v>
      </c>
      <c r="M33" s="2">
        <v>1.299701342907736</v>
      </c>
      <c r="N33" s="2">
        <v>1.4139714906780321</v>
      </c>
    </row>
    <row r="34" spans="1:14" x14ac:dyDescent="0.15">
      <c r="A34" s="2">
        <v>3</v>
      </c>
      <c r="B34" s="2">
        <v>260610</v>
      </c>
      <c r="C34" s="2" t="s">
        <v>51</v>
      </c>
      <c r="D34" s="2" t="s">
        <v>20</v>
      </c>
      <c r="E34" s="2" t="s">
        <v>52</v>
      </c>
      <c r="F34" s="2">
        <v>15.6</v>
      </c>
      <c r="G34" s="2">
        <v>4.4772767688945194</v>
      </c>
      <c r="H34" s="2">
        <v>4.6498878369239831</v>
      </c>
      <c r="I34" s="2">
        <v>5.73101427824494</v>
      </c>
      <c r="J34" s="2">
        <v>5.6149192179208063</v>
      </c>
      <c r="K34" s="2">
        <v>5.4177459435396473</v>
      </c>
      <c r="L34" s="2">
        <v>5.0801076306649806</v>
      </c>
      <c r="M34" s="2">
        <v>5.1247439985069123</v>
      </c>
      <c r="N34" s="2">
        <v>5.5845776212331346</v>
      </c>
    </row>
    <row r="35" spans="1:14" x14ac:dyDescent="0.15">
      <c r="A35" s="2">
        <v>3</v>
      </c>
      <c r="B35" s="2">
        <v>260610</v>
      </c>
      <c r="C35" s="2" t="s">
        <v>53</v>
      </c>
      <c r="D35" s="2" t="s">
        <v>20</v>
      </c>
      <c r="E35" s="2" t="s">
        <v>54</v>
      </c>
      <c r="F35" s="2">
        <v>9.1000000000000014</v>
      </c>
      <c r="G35" s="2">
        <v>2.042583169242957</v>
      </c>
      <c r="H35" s="2">
        <v>2.4288471348780609</v>
      </c>
      <c r="I35" s="2">
        <v>2.4648903702764531</v>
      </c>
      <c r="J35" s="2">
        <v>2.150956376060996</v>
      </c>
      <c r="K35" s="2">
        <v>1.699454345276777</v>
      </c>
      <c r="L35" s="2">
        <v>1.524835832585139</v>
      </c>
      <c r="M35" s="2">
        <v>1.4249679854915089</v>
      </c>
      <c r="N35" s="2">
        <v>1.4239783113026629</v>
      </c>
    </row>
    <row r="36" spans="1:14" x14ac:dyDescent="0.15">
      <c r="A36" s="2">
        <v>3</v>
      </c>
      <c r="B36" s="2">
        <v>260610</v>
      </c>
      <c r="C36" s="2" t="s">
        <v>32</v>
      </c>
      <c r="D36" s="2" t="s">
        <v>20</v>
      </c>
      <c r="E36" s="2" t="s">
        <v>55</v>
      </c>
      <c r="F36" s="2">
        <v>15</v>
      </c>
      <c r="G36" s="2">
        <v>2.3558070055390692</v>
      </c>
      <c r="H36" s="2">
        <v>2.5655909826553791</v>
      </c>
      <c r="I36" s="2">
        <v>2.7640731513505301</v>
      </c>
      <c r="J36" s="2">
        <v>2.826443141778749</v>
      </c>
      <c r="K36" s="2">
        <v>2.4753108565470039</v>
      </c>
      <c r="L36" s="2">
        <v>2.2407957363081632</v>
      </c>
      <c r="M36" s="2">
        <v>2.078289169112451</v>
      </c>
      <c r="N36" s="2">
        <v>2.0435055935326121</v>
      </c>
    </row>
    <row r="37" spans="1:14" x14ac:dyDescent="0.15">
      <c r="A37" s="2">
        <v>3</v>
      </c>
      <c r="B37" s="2">
        <v>260610</v>
      </c>
      <c r="C37" s="2" t="s">
        <v>34</v>
      </c>
      <c r="D37" s="2" t="s">
        <v>20</v>
      </c>
      <c r="E37" s="2" t="s">
        <v>56</v>
      </c>
      <c r="F37" s="2">
        <v>13.3</v>
      </c>
      <c r="G37" s="2">
        <v>1.805335446668203</v>
      </c>
      <c r="H37" s="2">
        <v>1.9817771299361511</v>
      </c>
      <c r="I37" s="2">
        <v>1.819222100036076</v>
      </c>
      <c r="J37" s="2">
        <v>1.9097392845258301</v>
      </c>
      <c r="K37" s="2">
        <v>1.808768665785782</v>
      </c>
      <c r="L37" s="2">
        <v>1.614359807726419</v>
      </c>
      <c r="M37" s="2">
        <v>1.515963370614138</v>
      </c>
      <c r="N37" s="2">
        <v>1.5252726086701329</v>
      </c>
    </row>
    <row r="38" spans="1:14" x14ac:dyDescent="0.15">
      <c r="A38" s="2">
        <v>6</v>
      </c>
      <c r="B38" s="2">
        <v>260702</v>
      </c>
      <c r="C38" s="2" t="s">
        <v>45</v>
      </c>
      <c r="D38" s="2" t="s">
        <v>60</v>
      </c>
      <c r="E38" s="2" t="s">
        <v>89</v>
      </c>
      <c r="F38" s="2">
        <v>3.2</v>
      </c>
      <c r="G38" s="2">
        <v>0.94436504267443422</v>
      </c>
      <c r="H38" s="2">
        <v>0.94189377033034571</v>
      </c>
      <c r="I38" s="2">
        <v>0.78573205847141936</v>
      </c>
      <c r="J38" s="2">
        <v>0.6657603537346064</v>
      </c>
      <c r="K38" s="2">
        <v>0.60499627405455803</v>
      </c>
      <c r="L38" s="2">
        <v>0.65513143958119113</v>
      </c>
      <c r="M38" s="2">
        <v>0.75771684627212765</v>
      </c>
      <c r="N38" s="2">
        <v>0.91625450908172446</v>
      </c>
    </row>
    <row r="39" spans="1:14" x14ac:dyDescent="0.15">
      <c r="A39" s="2">
        <v>6</v>
      </c>
      <c r="B39" s="2">
        <v>260702</v>
      </c>
      <c r="C39" s="2" t="s">
        <v>90</v>
      </c>
      <c r="D39" s="2" t="s">
        <v>60</v>
      </c>
      <c r="E39" s="2" t="s">
        <v>91</v>
      </c>
      <c r="F39" s="2">
        <v>4.4000000000000004</v>
      </c>
      <c r="G39" s="2">
        <v>1.285676486432471</v>
      </c>
      <c r="H39" s="2">
        <v>1.368582885426237</v>
      </c>
      <c r="I39" s="2">
        <v>1.2817682082935631</v>
      </c>
      <c r="J39" s="2">
        <v>1.095770803688505</v>
      </c>
      <c r="K39" s="2">
        <v>0.94403074818321242</v>
      </c>
      <c r="L39" s="2">
        <v>0.95728759750088721</v>
      </c>
      <c r="M39" s="2">
        <v>1.055294705793405</v>
      </c>
      <c r="N39" s="2">
        <v>1.1957829353078451</v>
      </c>
    </row>
    <row r="40" spans="1:14" x14ac:dyDescent="0.15">
      <c r="A40" s="2">
        <v>6</v>
      </c>
      <c r="B40" s="2">
        <v>260702</v>
      </c>
      <c r="C40" s="2" t="s">
        <v>92</v>
      </c>
      <c r="D40" s="2" t="s">
        <v>60</v>
      </c>
      <c r="E40" s="2" t="s">
        <v>93</v>
      </c>
      <c r="F40" s="2">
        <v>4.4000000000000004</v>
      </c>
      <c r="G40" s="2">
        <v>1.4464788599180529</v>
      </c>
      <c r="H40" s="2">
        <v>1.2303333796578031</v>
      </c>
      <c r="I40" s="2">
        <v>1.0307026336025851</v>
      </c>
      <c r="J40" s="2">
        <v>0.81964764862526185</v>
      </c>
      <c r="K40" s="2">
        <v>0.62040482008225573</v>
      </c>
      <c r="L40" s="2">
        <v>0.74058929710825216</v>
      </c>
      <c r="M40" s="2">
        <v>0.70703084062133126</v>
      </c>
      <c r="N40" s="2">
        <v>0.89416862281325626</v>
      </c>
    </row>
    <row r="41" spans="1:14" x14ac:dyDescent="0.15">
      <c r="A41" s="2">
        <v>6</v>
      </c>
      <c r="B41" s="2">
        <v>260702</v>
      </c>
      <c r="C41" s="2" t="s">
        <v>49</v>
      </c>
      <c r="D41" s="2" t="s">
        <v>60</v>
      </c>
      <c r="E41" s="2" t="s">
        <v>94</v>
      </c>
      <c r="F41" s="2">
        <v>13.87</v>
      </c>
      <c r="G41" s="2">
        <v>1.3702808661272079</v>
      </c>
      <c r="H41" s="2">
        <v>1.303943262477546</v>
      </c>
      <c r="I41" s="2">
        <v>1.0590583867810479</v>
      </c>
      <c r="J41" s="2">
        <v>0.70976952613867561</v>
      </c>
      <c r="K41" s="2">
        <v>1.0242569006925351</v>
      </c>
      <c r="L41" s="2">
        <v>1.003491490649522</v>
      </c>
      <c r="M41" s="2">
        <v>1.061712201735622</v>
      </c>
      <c r="N41" s="2">
        <v>1.061092657774992</v>
      </c>
    </row>
    <row r="42" spans="1:14" x14ac:dyDescent="0.15">
      <c r="A42" s="2">
        <v>6</v>
      </c>
      <c r="B42" s="2">
        <v>260702</v>
      </c>
      <c r="C42" s="2" t="s">
        <v>51</v>
      </c>
      <c r="D42" s="2" t="s">
        <v>60</v>
      </c>
      <c r="E42" s="2" t="s">
        <v>95</v>
      </c>
      <c r="F42" s="2">
        <v>26.2</v>
      </c>
      <c r="G42" s="2">
        <v>2.101183170277964</v>
      </c>
      <c r="H42" s="2">
        <v>2.3224341028148259</v>
      </c>
      <c r="I42" s="2">
        <v>2.1241328746066648</v>
      </c>
      <c r="J42" s="2">
        <v>1.6795845800549929</v>
      </c>
      <c r="K42" s="2">
        <v>1.330934842177069</v>
      </c>
      <c r="L42" s="2">
        <v>1.334808408204545</v>
      </c>
      <c r="M42" s="2">
        <v>1.2479525970417911</v>
      </c>
      <c r="N42" s="2">
        <v>1.458121529612546</v>
      </c>
    </row>
    <row r="43" spans="1:14" x14ac:dyDescent="0.15">
      <c r="A43" s="2">
        <v>6</v>
      </c>
      <c r="B43" s="2">
        <v>260702</v>
      </c>
      <c r="C43" s="2" t="s">
        <v>53</v>
      </c>
      <c r="D43" s="2" t="s">
        <v>60</v>
      </c>
      <c r="E43" s="2" t="s">
        <v>96</v>
      </c>
      <c r="F43" s="2">
        <v>38.729999999999997</v>
      </c>
      <c r="G43" s="2">
        <v>2.394284651501315</v>
      </c>
      <c r="H43" s="2">
        <v>2.7747990261939499</v>
      </c>
      <c r="I43" s="2">
        <v>2.7549894619755579</v>
      </c>
      <c r="J43" s="2">
        <v>2.426931170010592</v>
      </c>
      <c r="K43" s="2">
        <v>1.8604956154874199</v>
      </c>
      <c r="L43" s="2">
        <v>1.678547350004562</v>
      </c>
      <c r="M43" s="2">
        <v>1.61973350288713</v>
      </c>
      <c r="N43" s="2">
        <v>1.718017349468165</v>
      </c>
    </row>
    <row r="44" spans="1:14" x14ac:dyDescent="0.15">
      <c r="A44" s="2">
        <v>6</v>
      </c>
      <c r="B44" s="2">
        <v>260702</v>
      </c>
      <c r="C44" s="2" t="s">
        <v>85</v>
      </c>
      <c r="D44" s="2" t="s">
        <v>60</v>
      </c>
      <c r="E44" s="2" t="s">
        <v>97</v>
      </c>
      <c r="F44" s="2">
        <v>25</v>
      </c>
      <c r="G44" s="2">
        <v>2.0334270401856589</v>
      </c>
      <c r="H44" s="2">
        <v>2.0830541468524841</v>
      </c>
      <c r="I44" s="2">
        <v>1.762018739611686</v>
      </c>
      <c r="J44" s="2">
        <v>1.1299264212126701</v>
      </c>
      <c r="K44" s="2">
        <v>0.97729895724546723</v>
      </c>
      <c r="L44" s="2">
        <v>0.89578499053892202</v>
      </c>
      <c r="M44" s="2">
        <v>0.65929854247645892</v>
      </c>
      <c r="N44" s="2">
        <v>0.86097558205816904</v>
      </c>
    </row>
    <row r="45" spans="1:14" x14ac:dyDescent="0.15">
      <c r="A45" s="2">
        <v>6</v>
      </c>
      <c r="B45" s="2">
        <v>260702</v>
      </c>
      <c r="C45" s="2" t="s">
        <v>34</v>
      </c>
      <c r="D45" s="2" t="s">
        <v>60</v>
      </c>
      <c r="E45" s="2" t="s">
        <v>98</v>
      </c>
      <c r="F45" s="2">
        <v>17.2</v>
      </c>
      <c r="G45" s="2">
        <v>2.1794971586212069</v>
      </c>
      <c r="H45" s="2">
        <v>2.406478403663884</v>
      </c>
      <c r="I45" s="2">
        <v>2.5164279757067489</v>
      </c>
      <c r="J45" s="2">
        <v>2.3153177013556121</v>
      </c>
      <c r="K45" s="2">
        <v>1.863512352412749</v>
      </c>
      <c r="L45" s="2">
        <v>1.732049973295525</v>
      </c>
      <c r="M45" s="2">
        <v>1.6612830518630379</v>
      </c>
      <c r="N45" s="2">
        <v>1.712162966927451</v>
      </c>
    </row>
    <row r="46" spans="1:14" x14ac:dyDescent="0.15">
      <c r="A46" s="2">
        <v>6</v>
      </c>
      <c r="B46" s="2">
        <v>260702</v>
      </c>
      <c r="C46" s="2" t="s">
        <v>32</v>
      </c>
      <c r="D46" s="2" t="s">
        <v>60</v>
      </c>
      <c r="E46" s="2" t="s">
        <v>99</v>
      </c>
      <c r="F46" s="2">
        <v>22.13</v>
      </c>
      <c r="G46" s="2">
        <v>1.884321081569122</v>
      </c>
      <c r="H46" s="2">
        <v>2.056808721595424</v>
      </c>
      <c r="I46" s="2">
        <v>2.2175783044036859</v>
      </c>
      <c r="J46" s="2">
        <v>2.0838405017181829</v>
      </c>
      <c r="K46" s="2">
        <v>1.6992036853019681</v>
      </c>
      <c r="L46" s="2">
        <v>1.5692470119555251</v>
      </c>
      <c r="M46" s="2">
        <v>1.5173142472445831</v>
      </c>
      <c r="N46" s="2">
        <v>1.5737045605954501</v>
      </c>
    </row>
    <row r="47" spans="1:14" x14ac:dyDescent="0.15">
      <c r="A47" s="2">
        <v>7</v>
      </c>
      <c r="B47" s="2">
        <v>260709</v>
      </c>
      <c r="C47" s="2" t="s">
        <v>36</v>
      </c>
      <c r="D47" s="2" t="s">
        <v>60</v>
      </c>
      <c r="E47" s="2" t="s">
        <v>100</v>
      </c>
      <c r="F47" s="2">
        <v>6.27</v>
      </c>
      <c r="G47" s="2">
        <v>2.3957447174942779</v>
      </c>
      <c r="H47" s="2">
        <v>2.4385592707526502</v>
      </c>
      <c r="I47" s="2">
        <v>2.8285741084756628</v>
      </c>
      <c r="J47" s="2">
        <v>2.7785097360088709</v>
      </c>
      <c r="K47" s="2">
        <v>2.670348214567499</v>
      </c>
      <c r="L47" s="2">
        <v>2.338441358728089</v>
      </c>
      <c r="M47" s="2">
        <v>2.165224231285376</v>
      </c>
      <c r="N47" s="2">
        <v>2.0010104690623831</v>
      </c>
    </row>
    <row r="48" spans="1:14" x14ac:dyDescent="0.15">
      <c r="A48" s="2">
        <v>7</v>
      </c>
      <c r="B48" s="2">
        <v>260709</v>
      </c>
      <c r="C48" s="2" t="s">
        <v>19</v>
      </c>
      <c r="D48" s="2" t="s">
        <v>60</v>
      </c>
      <c r="E48" s="2" t="s">
        <v>101</v>
      </c>
      <c r="F48" s="2">
        <v>23.47</v>
      </c>
      <c r="G48" s="2">
        <v>2.002085416671525</v>
      </c>
      <c r="H48" s="2">
        <v>2.2691532488051989</v>
      </c>
      <c r="I48" s="2">
        <v>2.3051349712761682</v>
      </c>
      <c r="J48" s="2">
        <v>2.0936249059438801</v>
      </c>
      <c r="K48" s="2">
        <v>1.685522448285969</v>
      </c>
      <c r="L48" s="2">
        <v>1.6081588415725321</v>
      </c>
      <c r="M48" s="2">
        <v>1.5467499712584269</v>
      </c>
      <c r="N48" s="2">
        <v>1.5426175402986471</v>
      </c>
    </row>
    <row r="49" spans="1:14" x14ac:dyDescent="0.15">
      <c r="A49" s="2">
        <v>7</v>
      </c>
      <c r="B49" s="2">
        <v>260709</v>
      </c>
      <c r="C49" s="2" t="s">
        <v>22</v>
      </c>
      <c r="D49" s="2" t="s">
        <v>60</v>
      </c>
      <c r="E49" s="2" t="s">
        <v>102</v>
      </c>
      <c r="F49" s="2">
        <v>8.5500000000000007</v>
      </c>
      <c r="G49" s="2">
        <v>1.8966608333525901</v>
      </c>
      <c r="H49" s="2">
        <v>2.299209642932269</v>
      </c>
      <c r="I49" s="2">
        <v>2.421192164900861</v>
      </c>
      <c r="J49" s="2">
        <v>2.183191112311702</v>
      </c>
      <c r="K49" s="2">
        <v>1.6635403759682039</v>
      </c>
      <c r="L49" s="2">
        <v>1.429532326586509</v>
      </c>
      <c r="M49" s="2">
        <v>1.259992381217562</v>
      </c>
      <c r="N49" s="2">
        <v>1.163053017326227</v>
      </c>
    </row>
    <row r="50" spans="1:14" x14ac:dyDescent="0.15">
      <c r="A50" s="2">
        <v>7</v>
      </c>
      <c r="B50" s="2">
        <v>260709</v>
      </c>
      <c r="C50" s="2" t="s">
        <v>24</v>
      </c>
      <c r="D50" s="2" t="s">
        <v>60</v>
      </c>
      <c r="E50" s="2" t="s">
        <v>103</v>
      </c>
      <c r="F50" s="2">
        <v>3.23</v>
      </c>
      <c r="G50" s="2">
        <v>4.4121412540764986</v>
      </c>
      <c r="H50" s="2">
        <v>3.8756272752618388</v>
      </c>
      <c r="I50" s="2">
        <v>2.4303894911171451</v>
      </c>
      <c r="J50" s="2">
        <v>2.2644460643771849</v>
      </c>
      <c r="K50" s="2">
        <v>0.29039971188865638</v>
      </c>
      <c r="L50" s="2">
        <v>0.13666061785214639</v>
      </c>
      <c r="M50" s="2">
        <v>2.057171533563289</v>
      </c>
      <c r="N50" s="2">
        <v>0.21899489844226969</v>
      </c>
    </row>
    <row r="51" spans="1:14" x14ac:dyDescent="0.15">
      <c r="A51" s="2">
        <v>7</v>
      </c>
      <c r="B51" s="2">
        <v>260709</v>
      </c>
      <c r="C51" s="2" t="s">
        <v>70</v>
      </c>
      <c r="D51" s="2" t="s">
        <v>60</v>
      </c>
      <c r="E51" s="2" t="s">
        <v>104</v>
      </c>
      <c r="F51" s="2">
        <v>3.73</v>
      </c>
      <c r="G51" s="2">
        <v>2.8705770967667581</v>
      </c>
      <c r="H51" s="2">
        <v>2.9549974011623972</v>
      </c>
      <c r="I51" s="2">
        <v>3.2499959678210382</v>
      </c>
      <c r="J51" s="2">
        <v>3.4604604515270778</v>
      </c>
      <c r="K51" s="2">
        <v>3.0834763885814169</v>
      </c>
      <c r="L51" s="2">
        <v>2.8046129214430531</v>
      </c>
      <c r="M51" s="2">
        <v>2.435095367805614</v>
      </c>
      <c r="N51" s="2">
        <v>2.164501276385375</v>
      </c>
    </row>
    <row r="52" spans="1:14" x14ac:dyDescent="0.15">
      <c r="A52" s="2">
        <v>7</v>
      </c>
      <c r="B52" s="2">
        <v>260709</v>
      </c>
      <c r="C52" s="2" t="s">
        <v>72</v>
      </c>
      <c r="D52" s="2" t="s">
        <v>60</v>
      </c>
      <c r="E52" s="2" t="s">
        <v>105</v>
      </c>
      <c r="F52" s="2">
        <v>3.73</v>
      </c>
      <c r="G52" s="2">
        <v>4.0661700412766972</v>
      </c>
      <c r="H52" s="2">
        <v>4.9262963353873266</v>
      </c>
      <c r="I52" s="2">
        <v>2.7448467691620819</v>
      </c>
      <c r="J52" s="2">
        <v>4.3949057710946038</v>
      </c>
      <c r="K52" s="2">
        <v>3.8592405728884329</v>
      </c>
      <c r="L52" s="2">
        <v>2.7005248913758981</v>
      </c>
      <c r="M52" s="2">
        <v>2.435374989024754</v>
      </c>
      <c r="N52" s="2">
        <v>2.3411729427859682</v>
      </c>
    </row>
    <row r="53" spans="1:14" x14ac:dyDescent="0.15">
      <c r="A53" s="2">
        <v>7</v>
      </c>
      <c r="B53" s="2">
        <v>260709</v>
      </c>
      <c r="C53" s="2" t="s">
        <v>43</v>
      </c>
      <c r="D53" s="2" t="s">
        <v>60</v>
      </c>
      <c r="E53" s="2" t="s">
        <v>106</v>
      </c>
      <c r="F53" s="2">
        <v>6.53</v>
      </c>
      <c r="G53" s="2">
        <v>6.3563258669107574</v>
      </c>
      <c r="H53" s="2">
        <v>7.0480413426013619</v>
      </c>
      <c r="I53" s="2">
        <v>3.8575091648218578</v>
      </c>
      <c r="J53" s="2">
        <v>4.1156977323817339</v>
      </c>
      <c r="K53" s="2">
        <v>1.9447050758146061</v>
      </c>
      <c r="L53" s="2">
        <v>1.188856333208564</v>
      </c>
      <c r="M53" s="2">
        <v>0.34723217688149072</v>
      </c>
      <c r="N53" s="2">
        <v>-0.10706280113249381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"/>
  <sheetViews>
    <sheetView workbookViewId="0">
      <selection activeCell="H24" sqref="H24"/>
    </sheetView>
  </sheetViews>
  <sheetFormatPr baseColWidth="10" defaultRowHeight="15" x14ac:dyDescent="0.2"/>
  <sheetData>
    <row r="1" spans="1:9" x14ac:dyDescent="0.2">
      <c r="A1" t="s">
        <v>164</v>
      </c>
    </row>
    <row r="2" spans="1:9" ht="16" customHeight="1" thickBot="1" x14ac:dyDescent="0.25"/>
    <row r="3" spans="1:9" x14ac:dyDescent="0.2">
      <c r="A3" s="5" t="s">
        <v>165</v>
      </c>
      <c r="B3" s="5"/>
    </row>
    <row r="4" spans="1:9" x14ac:dyDescent="0.2">
      <c r="A4" t="s">
        <v>166</v>
      </c>
      <c r="B4">
        <v>0.76151193945464835</v>
      </c>
    </row>
    <row r="5" spans="1:9" x14ac:dyDescent="0.2">
      <c r="A5" t="s">
        <v>167</v>
      </c>
      <c r="B5">
        <v>0.57990043393197999</v>
      </c>
    </row>
    <row r="6" spans="1:9" x14ac:dyDescent="0.2">
      <c r="A6" t="s">
        <v>168</v>
      </c>
      <c r="B6">
        <v>-5.0248915170050028E-2</v>
      </c>
    </row>
    <row r="7" spans="1:9" x14ac:dyDescent="0.2">
      <c r="A7" t="s">
        <v>169</v>
      </c>
      <c r="B7">
        <v>3.5809480827365512</v>
      </c>
    </row>
    <row r="8" spans="1:9" ht="16" customHeight="1" thickBot="1" x14ac:dyDescent="0.25">
      <c r="A8" s="3" t="s">
        <v>170</v>
      </c>
      <c r="B8" s="3">
        <v>6</v>
      </c>
    </row>
    <row r="10" spans="1:9" ht="16" customHeight="1" thickBot="1" x14ac:dyDescent="0.25">
      <c r="A10" t="s">
        <v>171</v>
      </c>
    </row>
    <row r="11" spans="1:9" x14ac:dyDescent="0.2">
      <c r="A11" s="4"/>
      <c r="B11" s="4" t="s">
        <v>172</v>
      </c>
      <c r="C11" s="4" t="s">
        <v>173</v>
      </c>
      <c r="D11" s="4" t="s">
        <v>174</v>
      </c>
      <c r="E11" s="4" t="s">
        <v>175</v>
      </c>
      <c r="F11" s="4" t="s">
        <v>176</v>
      </c>
    </row>
    <row r="12" spans="1:9" x14ac:dyDescent="0.2">
      <c r="A12" t="s">
        <v>177</v>
      </c>
      <c r="B12">
        <v>3</v>
      </c>
      <c r="C12">
        <v>35.401954990824152</v>
      </c>
      <c r="D12">
        <v>11.800651663608051</v>
      </c>
      <c r="E12">
        <v>0.92025872082284121</v>
      </c>
      <c r="F12">
        <v>0.55839889586586566</v>
      </c>
    </row>
    <row r="13" spans="1:9" x14ac:dyDescent="0.2">
      <c r="A13" t="s">
        <v>178</v>
      </c>
      <c r="B13">
        <v>2</v>
      </c>
      <c r="C13">
        <v>25.646378342509159</v>
      </c>
      <c r="D13">
        <v>12.82318917125458</v>
      </c>
    </row>
    <row r="14" spans="1:9" ht="16" customHeight="1" thickBot="1" x14ac:dyDescent="0.25">
      <c r="A14" s="3" t="s">
        <v>179</v>
      </c>
      <c r="B14" s="3">
        <v>5</v>
      </c>
      <c r="C14" s="3">
        <v>61.048333333333318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180</v>
      </c>
      <c r="C16" s="4" t="s">
        <v>169</v>
      </c>
      <c r="D16" s="4" t="s">
        <v>181</v>
      </c>
      <c r="E16" s="4" t="s">
        <v>182</v>
      </c>
      <c r="F16" s="4" t="s">
        <v>183</v>
      </c>
      <c r="G16" s="4" t="s">
        <v>184</v>
      </c>
      <c r="H16" s="4" t="s">
        <v>185</v>
      </c>
      <c r="I16" s="4" t="s">
        <v>186</v>
      </c>
    </row>
    <row r="17" spans="1:9" x14ac:dyDescent="0.2">
      <c r="A17" t="s">
        <v>187</v>
      </c>
      <c r="B17">
        <v>-15.39919741910634</v>
      </c>
      <c r="C17">
        <v>14.17769392292354</v>
      </c>
      <c r="D17">
        <v>-1.086156712285048</v>
      </c>
      <c r="E17">
        <v>0.39088831502364041</v>
      </c>
      <c r="F17">
        <v>-76.400890878125708</v>
      </c>
      <c r="G17">
        <v>45.602496039913028</v>
      </c>
      <c r="H17">
        <v>-76.400890878125708</v>
      </c>
      <c r="I17">
        <v>45.602496039913028</v>
      </c>
    </row>
    <row r="18" spans="1:9" x14ac:dyDescent="0.2">
      <c r="A18" t="s">
        <v>5</v>
      </c>
      <c r="B18">
        <v>0.7869912782312527</v>
      </c>
      <c r="C18">
        <v>1.526514710772628</v>
      </c>
      <c r="D18">
        <v>0.5155477852112712</v>
      </c>
      <c r="E18">
        <v>0.65750112940482575</v>
      </c>
      <c r="F18">
        <v>-5.7810714090773088</v>
      </c>
      <c r="G18">
        <v>7.3550539655398142</v>
      </c>
      <c r="H18">
        <v>-5.7810714090773088</v>
      </c>
      <c r="I18">
        <v>7.3550539655398142</v>
      </c>
    </row>
    <row r="19" spans="1:9" x14ac:dyDescent="0.2">
      <c r="A19" t="s">
        <v>7</v>
      </c>
      <c r="B19">
        <v>8.6714797209944923</v>
      </c>
      <c r="C19">
        <v>6.897666395916553</v>
      </c>
      <c r="D19">
        <v>1.2571613678110101</v>
      </c>
      <c r="E19">
        <v>0.33561176273933202</v>
      </c>
      <c r="F19">
        <v>-21.006783426297009</v>
      </c>
      <c r="G19">
        <v>38.349742868285993</v>
      </c>
      <c r="H19">
        <v>-21.006783426297009</v>
      </c>
      <c r="I19">
        <v>38.349742868285993</v>
      </c>
    </row>
    <row r="20" spans="1:9" ht="16" customHeight="1" thickBot="1" x14ac:dyDescent="0.25">
      <c r="A20" s="3" t="s">
        <v>9</v>
      </c>
      <c r="B20" s="3">
        <v>-1.366142110638366</v>
      </c>
      <c r="C20" s="3">
        <v>6.9300656040713209</v>
      </c>
      <c r="D20" s="3">
        <v>-0.1971326375086227</v>
      </c>
      <c r="E20" s="3">
        <v>0.86194100941091922</v>
      </c>
      <c r="F20" s="3">
        <v>-31.183807799338702</v>
      </c>
      <c r="G20" s="3">
        <v>28.45152357806197</v>
      </c>
      <c r="H20" s="3">
        <v>-31.183807799338702</v>
      </c>
      <c r="I20" s="3">
        <v>28.45152357806197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selection activeCell="A3" sqref="A3:I21"/>
    </sheetView>
  </sheetViews>
  <sheetFormatPr baseColWidth="10" defaultRowHeight="15" x14ac:dyDescent="0.2"/>
  <sheetData>
    <row r="1" spans="1:9" x14ac:dyDescent="0.2">
      <c r="A1" t="s">
        <v>164</v>
      </c>
    </row>
    <row r="2" spans="1:9" ht="16" customHeight="1" thickBot="1" x14ac:dyDescent="0.25"/>
    <row r="3" spans="1:9" x14ac:dyDescent="0.2">
      <c r="A3" s="5" t="s">
        <v>165</v>
      </c>
      <c r="B3" s="5"/>
    </row>
    <row r="4" spans="1:9" x14ac:dyDescent="0.2">
      <c r="A4" t="s">
        <v>166</v>
      </c>
      <c r="B4">
        <v>0.61439597235404875</v>
      </c>
    </row>
    <row r="5" spans="1:9" x14ac:dyDescent="0.2">
      <c r="A5" t="s">
        <v>167</v>
      </c>
      <c r="B5">
        <v>0.37748241084487699</v>
      </c>
    </row>
    <row r="6" spans="1:9" x14ac:dyDescent="0.2">
      <c r="A6" t="s">
        <v>168</v>
      </c>
      <c r="B6">
        <v>0.16997654779316931</v>
      </c>
    </row>
    <row r="7" spans="1:9" x14ac:dyDescent="0.2">
      <c r="A7" t="s">
        <v>169</v>
      </c>
      <c r="B7">
        <v>4.6923988266462757</v>
      </c>
    </row>
    <row r="8" spans="1:9" ht="16" customHeight="1" thickBot="1" x14ac:dyDescent="0.25">
      <c r="A8" s="3" t="s">
        <v>170</v>
      </c>
      <c r="B8" s="3">
        <v>13</v>
      </c>
    </row>
    <row r="10" spans="1:9" ht="16" customHeight="1" thickBot="1" x14ac:dyDescent="0.25">
      <c r="A10" t="s">
        <v>171</v>
      </c>
    </row>
    <row r="11" spans="1:9" x14ac:dyDescent="0.2">
      <c r="A11" s="4"/>
      <c r="B11" s="4" t="s">
        <v>172</v>
      </c>
      <c r="C11" s="4" t="s">
        <v>173</v>
      </c>
      <c r="D11" s="4" t="s">
        <v>174</v>
      </c>
      <c r="E11" s="4" t="s">
        <v>175</v>
      </c>
      <c r="F11" s="4" t="s">
        <v>176</v>
      </c>
    </row>
    <row r="12" spans="1:9" x14ac:dyDescent="0.2">
      <c r="A12" t="s">
        <v>177</v>
      </c>
      <c r="B12">
        <v>3</v>
      </c>
      <c r="C12">
        <v>120.1648469575055</v>
      </c>
      <c r="D12">
        <v>40.054948985835154</v>
      </c>
      <c r="E12">
        <v>1.819140940373398</v>
      </c>
      <c r="F12">
        <v>0.2137948021930681</v>
      </c>
    </row>
    <row r="13" spans="1:9" x14ac:dyDescent="0.2">
      <c r="A13" t="s">
        <v>178</v>
      </c>
      <c r="B13">
        <v>9</v>
      </c>
      <c r="C13">
        <v>198.16746073480209</v>
      </c>
      <c r="D13">
        <v>22.018606748311349</v>
      </c>
    </row>
    <row r="14" spans="1:9" ht="16" customHeight="1" thickBot="1" x14ac:dyDescent="0.25">
      <c r="A14" s="3" t="s">
        <v>179</v>
      </c>
      <c r="B14" s="3">
        <v>12</v>
      </c>
      <c r="C14" s="3">
        <v>318.33230769230761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180</v>
      </c>
      <c r="C16" s="4" t="s">
        <v>169</v>
      </c>
      <c r="D16" s="4" t="s">
        <v>181</v>
      </c>
      <c r="E16" s="4" t="s">
        <v>182</v>
      </c>
      <c r="F16" s="4" t="s">
        <v>183</v>
      </c>
      <c r="G16" s="4" t="s">
        <v>184</v>
      </c>
      <c r="H16" s="4" t="s">
        <v>185</v>
      </c>
      <c r="I16" s="4" t="s">
        <v>186</v>
      </c>
    </row>
    <row r="17" spans="1:9" x14ac:dyDescent="0.2">
      <c r="A17" t="s">
        <v>187</v>
      </c>
      <c r="B17">
        <v>9.7366254048772998</v>
      </c>
      <c r="C17">
        <v>4.539159094957431</v>
      </c>
      <c r="D17">
        <v>2.14502845156799</v>
      </c>
      <c r="E17">
        <v>6.0524205385574292E-2</v>
      </c>
      <c r="F17">
        <v>-0.53166585486127182</v>
      </c>
      <c r="G17">
        <v>20.00491666461587</v>
      </c>
      <c r="H17">
        <v>-0.53166585486127182</v>
      </c>
      <c r="I17">
        <v>20.00491666461587</v>
      </c>
    </row>
    <row r="18" spans="1:9" x14ac:dyDescent="0.2">
      <c r="A18" t="s">
        <v>5</v>
      </c>
      <c r="B18">
        <v>-2.369012849563886</v>
      </c>
      <c r="C18">
        <v>1.339143483539039</v>
      </c>
      <c r="D18">
        <v>-1.7690507990250199</v>
      </c>
      <c r="E18">
        <v>0.11067207207551349</v>
      </c>
      <c r="F18">
        <v>-5.3983658728662638</v>
      </c>
      <c r="G18">
        <v>0.66034017373849263</v>
      </c>
      <c r="H18">
        <v>-5.3983658728662638</v>
      </c>
      <c r="I18">
        <v>0.66034017373849263</v>
      </c>
    </row>
    <row r="19" spans="1:9" x14ac:dyDescent="0.2">
      <c r="A19" t="s">
        <v>7</v>
      </c>
      <c r="B19">
        <v>-4.4088680112548664</v>
      </c>
      <c r="C19">
        <v>5.1831989103022753</v>
      </c>
      <c r="D19">
        <v>-0.85060752781292526</v>
      </c>
      <c r="E19">
        <v>0.41704259429035628</v>
      </c>
      <c r="F19">
        <v>-16.134078552403011</v>
      </c>
      <c r="G19">
        <v>7.3163425298932783</v>
      </c>
      <c r="H19">
        <v>-16.134078552403011</v>
      </c>
      <c r="I19">
        <v>7.3163425298932783</v>
      </c>
    </row>
    <row r="20" spans="1:9" ht="16" customHeight="1" thickBot="1" x14ac:dyDescent="0.25">
      <c r="A20" s="3" t="s">
        <v>9</v>
      </c>
      <c r="B20" s="3">
        <v>7.6645066243786824</v>
      </c>
      <c r="C20" s="3">
        <v>5.5926119134933918</v>
      </c>
      <c r="D20" s="3">
        <v>1.3704699598208121</v>
      </c>
      <c r="E20" s="3">
        <v>0.20374834857581101</v>
      </c>
      <c r="F20" s="3">
        <v>-4.986860474480971</v>
      </c>
      <c r="G20" s="3">
        <v>20.31587372323834</v>
      </c>
      <c r="H20" s="3">
        <v>-4.986860474480971</v>
      </c>
      <c r="I20" s="3">
        <v>20.31587372323834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7"/>
  <sheetViews>
    <sheetView workbookViewId="0">
      <selection activeCell="F44" sqref="F44"/>
    </sheetView>
  </sheetViews>
  <sheetFormatPr baseColWidth="10" defaultRowHeight="15" x14ac:dyDescent="0.2"/>
  <sheetData>
    <row r="1" spans="1:9" x14ac:dyDescent="0.2">
      <c r="A1" t="s">
        <v>164</v>
      </c>
    </row>
    <row r="2" spans="1:9" ht="16" customHeight="1" thickBot="1" x14ac:dyDescent="0.25"/>
    <row r="3" spans="1:9" x14ac:dyDescent="0.2">
      <c r="A3" s="5" t="s">
        <v>165</v>
      </c>
      <c r="B3" s="5"/>
    </row>
    <row r="4" spans="1:9" x14ac:dyDescent="0.2">
      <c r="A4" t="s">
        <v>166</v>
      </c>
      <c r="B4">
        <v>0.36057180460711619</v>
      </c>
    </row>
    <row r="5" spans="1:9" x14ac:dyDescent="0.2">
      <c r="A5" t="s">
        <v>167</v>
      </c>
      <c r="B5">
        <v>0.13001202627763239</v>
      </c>
    </row>
    <row r="6" spans="1:9" x14ac:dyDescent="0.2">
      <c r="A6" t="s">
        <v>168</v>
      </c>
      <c r="B6">
        <v>2.5613469430948312E-2</v>
      </c>
    </row>
    <row r="7" spans="1:9" x14ac:dyDescent="0.2">
      <c r="A7" t="s">
        <v>169</v>
      </c>
      <c r="B7">
        <v>8.896204276793398</v>
      </c>
    </row>
    <row r="8" spans="1:9" ht="16" customHeight="1" thickBot="1" x14ac:dyDescent="0.25">
      <c r="A8" s="3" t="s">
        <v>170</v>
      </c>
      <c r="B8" s="3">
        <v>29</v>
      </c>
    </row>
    <row r="10" spans="1:9" ht="16" customHeight="1" thickBot="1" x14ac:dyDescent="0.25">
      <c r="A10" t="s">
        <v>171</v>
      </c>
    </row>
    <row r="11" spans="1:9" x14ac:dyDescent="0.2">
      <c r="A11" s="4"/>
      <c r="B11" s="4" t="s">
        <v>172</v>
      </c>
      <c r="C11" s="4" t="s">
        <v>173</v>
      </c>
      <c r="D11" s="4" t="s">
        <v>174</v>
      </c>
      <c r="E11" s="4" t="s">
        <v>175</v>
      </c>
      <c r="F11" s="4" t="s">
        <v>176</v>
      </c>
    </row>
    <row r="12" spans="1:9" x14ac:dyDescent="0.2">
      <c r="A12" t="s">
        <v>177</v>
      </c>
      <c r="B12">
        <v>3</v>
      </c>
      <c r="C12">
        <v>295.67852284596819</v>
      </c>
      <c r="D12">
        <v>98.559507615322744</v>
      </c>
      <c r="E12">
        <v>1.245343136960823</v>
      </c>
      <c r="F12">
        <v>0.31438716354529472</v>
      </c>
    </row>
    <row r="13" spans="1:9" x14ac:dyDescent="0.2">
      <c r="A13" t="s">
        <v>178</v>
      </c>
      <c r="B13">
        <v>25</v>
      </c>
      <c r="C13">
        <v>1978.5612633609289</v>
      </c>
      <c r="D13">
        <v>79.142450534437145</v>
      </c>
    </row>
    <row r="14" spans="1:9" ht="16" customHeight="1" thickBot="1" x14ac:dyDescent="0.25">
      <c r="A14" s="3" t="s">
        <v>179</v>
      </c>
      <c r="B14" s="3">
        <v>28</v>
      </c>
      <c r="C14" s="3">
        <v>2274.239786206897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180</v>
      </c>
      <c r="C16" s="4" t="s">
        <v>169</v>
      </c>
      <c r="D16" s="4" t="s">
        <v>181</v>
      </c>
      <c r="E16" s="4" t="s">
        <v>182</v>
      </c>
      <c r="F16" s="4" t="s">
        <v>183</v>
      </c>
      <c r="G16" s="4" t="s">
        <v>184</v>
      </c>
      <c r="H16" s="4" t="s">
        <v>185</v>
      </c>
      <c r="I16" s="4" t="s">
        <v>186</v>
      </c>
    </row>
    <row r="17" spans="1:9" x14ac:dyDescent="0.2">
      <c r="A17" t="s">
        <v>187</v>
      </c>
      <c r="B17">
        <v>9.4787031700211593</v>
      </c>
      <c r="C17">
        <v>4.503767014103353</v>
      </c>
      <c r="D17">
        <v>2.1046166776254212</v>
      </c>
      <c r="E17">
        <v>4.5544892496938362E-2</v>
      </c>
      <c r="F17">
        <v>0.2030213718566988</v>
      </c>
      <c r="G17">
        <v>18.754384968185619</v>
      </c>
      <c r="H17">
        <v>0.2030213718566988</v>
      </c>
      <c r="I17">
        <v>18.754384968185619</v>
      </c>
    </row>
    <row r="18" spans="1:9" x14ac:dyDescent="0.2">
      <c r="A18" t="s">
        <v>5</v>
      </c>
      <c r="B18">
        <v>-2.5526810752345619</v>
      </c>
      <c r="C18">
        <v>1.5175423248250499</v>
      </c>
      <c r="D18">
        <v>-1.6821152421754351</v>
      </c>
      <c r="E18">
        <v>0.10499756095352</v>
      </c>
      <c r="F18">
        <v>-5.6781179986466208</v>
      </c>
      <c r="G18">
        <v>0.57275584817749658</v>
      </c>
      <c r="H18">
        <v>-5.6781179986466208</v>
      </c>
      <c r="I18">
        <v>0.57275584817749658</v>
      </c>
    </row>
    <row r="19" spans="1:9" x14ac:dyDescent="0.2">
      <c r="A19" t="s">
        <v>7</v>
      </c>
      <c r="B19">
        <v>5.506713544220176</v>
      </c>
      <c r="C19">
        <v>3.4824066172986221</v>
      </c>
      <c r="D19">
        <v>1.5812953940720029</v>
      </c>
      <c r="E19">
        <v>0.12638094248802939</v>
      </c>
      <c r="F19">
        <v>-1.6654371404695349</v>
      </c>
      <c r="G19">
        <v>12.678864228909889</v>
      </c>
      <c r="H19">
        <v>-1.6654371404695349</v>
      </c>
      <c r="I19">
        <v>12.678864228909889</v>
      </c>
    </row>
    <row r="20" spans="1:9" ht="16" customHeight="1" thickBot="1" x14ac:dyDescent="0.25">
      <c r="A20" s="3" t="s">
        <v>9</v>
      </c>
      <c r="B20" s="3">
        <v>-2.618303900288943</v>
      </c>
      <c r="C20" s="3">
        <v>2.9452741064978021</v>
      </c>
      <c r="D20" s="3">
        <v>-0.88898479585057832</v>
      </c>
      <c r="E20" s="3">
        <v>0.38248563033696797</v>
      </c>
      <c r="F20" s="3">
        <v>-8.684209471047188</v>
      </c>
      <c r="G20" s="3">
        <v>3.447601670469302</v>
      </c>
      <c r="H20" s="3">
        <v>-8.684209471047188</v>
      </c>
      <c r="I20" s="3">
        <v>3.447601670469302</v>
      </c>
    </row>
    <row r="27" spans="1:9" x14ac:dyDescent="0.2">
      <c r="G27" t="s">
        <v>188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0"/>
  <sheetViews>
    <sheetView workbookViewId="0">
      <selection sqref="A1:I23"/>
    </sheetView>
  </sheetViews>
  <sheetFormatPr baseColWidth="10" defaultRowHeight="15" x14ac:dyDescent="0.2"/>
  <sheetData>
    <row r="1" spans="1:9" x14ac:dyDescent="0.2">
      <c r="A1" t="s">
        <v>164</v>
      </c>
    </row>
    <row r="2" spans="1:9" ht="16" customHeight="1" thickBot="1" x14ac:dyDescent="0.25"/>
    <row r="3" spans="1:9" x14ac:dyDescent="0.2">
      <c r="A3" s="5" t="s">
        <v>165</v>
      </c>
      <c r="B3" s="5"/>
    </row>
    <row r="4" spans="1:9" x14ac:dyDescent="0.2">
      <c r="A4" t="s">
        <v>166</v>
      </c>
      <c r="B4">
        <v>0.33087890147972032</v>
      </c>
    </row>
    <row r="5" spans="1:9" x14ac:dyDescent="0.2">
      <c r="A5" t="s">
        <v>167</v>
      </c>
      <c r="B5">
        <v>0.1094808474444265</v>
      </c>
    </row>
    <row r="6" spans="1:9" x14ac:dyDescent="0.2">
      <c r="A6" t="s">
        <v>168</v>
      </c>
      <c r="B6">
        <v>-0.18735887007409799</v>
      </c>
    </row>
    <row r="7" spans="1:9" x14ac:dyDescent="0.2">
      <c r="A7" t="s">
        <v>169</v>
      </c>
      <c r="B7">
        <v>6.2837974913794561</v>
      </c>
    </row>
    <row r="8" spans="1:9" ht="16" customHeight="1" thickBot="1" x14ac:dyDescent="0.25">
      <c r="A8" s="3" t="s">
        <v>170</v>
      </c>
      <c r="B8" s="3">
        <v>13</v>
      </c>
    </row>
    <row r="10" spans="1:9" ht="16" customHeight="1" thickBot="1" x14ac:dyDescent="0.25">
      <c r="A10" t="s">
        <v>171</v>
      </c>
    </row>
    <row r="11" spans="1:9" x14ac:dyDescent="0.2">
      <c r="A11" s="4"/>
      <c r="B11" s="4" t="s">
        <v>172</v>
      </c>
      <c r="C11" s="4" t="s">
        <v>173</v>
      </c>
      <c r="D11" s="4" t="s">
        <v>174</v>
      </c>
      <c r="E11" s="4" t="s">
        <v>175</v>
      </c>
      <c r="F11" s="4" t="s">
        <v>176</v>
      </c>
    </row>
    <row r="12" spans="1:9" x14ac:dyDescent="0.2">
      <c r="A12" t="s">
        <v>177</v>
      </c>
      <c r="B12">
        <v>3</v>
      </c>
      <c r="C12">
        <v>43.689971016768602</v>
      </c>
      <c r="D12">
        <v>14.5633236722562</v>
      </c>
      <c r="E12">
        <v>0.3688214244362169</v>
      </c>
      <c r="F12">
        <v>0.777451995031753</v>
      </c>
    </row>
    <row r="13" spans="1:9" x14ac:dyDescent="0.2">
      <c r="A13" t="s">
        <v>178</v>
      </c>
      <c r="B13">
        <v>9</v>
      </c>
      <c r="C13">
        <v>355.3749982140007</v>
      </c>
      <c r="D13">
        <v>39.486110912666753</v>
      </c>
    </row>
    <row r="14" spans="1:9" ht="16" customHeight="1" thickBot="1" x14ac:dyDescent="0.25">
      <c r="A14" s="3" t="s">
        <v>179</v>
      </c>
      <c r="B14" s="3">
        <v>12</v>
      </c>
      <c r="C14" s="3">
        <v>399.06496923076929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180</v>
      </c>
      <c r="C16" s="4" t="s">
        <v>169</v>
      </c>
      <c r="D16" s="4" t="s">
        <v>181</v>
      </c>
      <c r="E16" s="4" t="s">
        <v>182</v>
      </c>
      <c r="F16" s="4" t="s">
        <v>183</v>
      </c>
      <c r="G16" s="4" t="s">
        <v>184</v>
      </c>
      <c r="H16" s="4" t="s">
        <v>185</v>
      </c>
      <c r="I16" s="4" t="s">
        <v>186</v>
      </c>
    </row>
    <row r="17" spans="1:9" x14ac:dyDescent="0.2">
      <c r="A17" t="s">
        <v>187</v>
      </c>
      <c r="B17">
        <v>7.8862279076680553</v>
      </c>
      <c r="C17">
        <v>9.3016817489487291</v>
      </c>
      <c r="D17">
        <v>0.84782817994814241</v>
      </c>
      <c r="E17">
        <v>0.4185097064839608</v>
      </c>
      <c r="F17">
        <v>-13.15563808678565</v>
      </c>
      <c r="G17">
        <v>28.928093902121759</v>
      </c>
      <c r="H17">
        <v>-13.15563808678565</v>
      </c>
      <c r="I17">
        <v>28.928093902121759</v>
      </c>
    </row>
    <row r="18" spans="1:9" x14ac:dyDescent="0.2">
      <c r="A18" t="s">
        <v>5</v>
      </c>
      <c r="B18">
        <v>-1.154320356372069</v>
      </c>
      <c r="C18">
        <v>1.162637032527593</v>
      </c>
      <c r="D18">
        <v>-0.99284671318490225</v>
      </c>
      <c r="E18">
        <v>0.34672620184823638</v>
      </c>
      <c r="F18">
        <v>-3.7843880472388141</v>
      </c>
      <c r="G18">
        <v>1.475747334494675</v>
      </c>
      <c r="H18">
        <v>-3.7843880472388141</v>
      </c>
      <c r="I18">
        <v>1.475747334494675</v>
      </c>
    </row>
    <row r="19" spans="1:9" x14ac:dyDescent="0.2">
      <c r="A19" t="s">
        <v>7</v>
      </c>
      <c r="B19">
        <v>1.603405275263283</v>
      </c>
      <c r="C19">
        <v>3.7594008737213431</v>
      </c>
      <c r="D19">
        <v>0.42650553349372128</v>
      </c>
      <c r="E19">
        <v>0.6797596766102374</v>
      </c>
      <c r="F19">
        <v>-6.9009503390552842</v>
      </c>
      <c r="G19">
        <v>10.107760889581851</v>
      </c>
      <c r="H19">
        <v>-6.9009503390552842</v>
      </c>
      <c r="I19">
        <v>10.107760889581851</v>
      </c>
    </row>
    <row r="20" spans="1:9" ht="16" customHeight="1" thickBot="1" x14ac:dyDescent="0.25">
      <c r="A20" s="3" t="s">
        <v>9</v>
      </c>
      <c r="B20" s="3">
        <v>-0.9726006944070823</v>
      </c>
      <c r="C20" s="3">
        <v>2.2724619014748151</v>
      </c>
      <c r="D20" s="3">
        <v>-0.42799427958544428</v>
      </c>
      <c r="E20" s="3">
        <v>0.67871466958390736</v>
      </c>
      <c r="F20" s="3">
        <v>-6.1132666620143654</v>
      </c>
      <c r="G20" s="3">
        <v>4.1680652732002006</v>
      </c>
      <c r="H20" s="3">
        <v>-6.1132666620143654</v>
      </c>
      <c r="I20" s="3">
        <v>4.1680652732002006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0"/>
  <sheetViews>
    <sheetView workbookViewId="0">
      <selection activeCell="D28" sqref="D28"/>
    </sheetView>
  </sheetViews>
  <sheetFormatPr baseColWidth="10" defaultRowHeight="15" x14ac:dyDescent="0.2"/>
  <sheetData>
    <row r="1" spans="1:9" x14ac:dyDescent="0.2">
      <c r="A1" t="s">
        <v>164</v>
      </c>
    </row>
    <row r="2" spans="1:9" ht="16" customHeight="1" thickBot="1" x14ac:dyDescent="0.25"/>
    <row r="3" spans="1:9" x14ac:dyDescent="0.2">
      <c r="A3" s="5" t="s">
        <v>165</v>
      </c>
      <c r="B3" s="5"/>
    </row>
    <row r="4" spans="1:9" x14ac:dyDescent="0.2">
      <c r="A4" t="s">
        <v>166</v>
      </c>
      <c r="B4">
        <v>0.70756098515082799</v>
      </c>
    </row>
    <row r="5" spans="1:9" x14ac:dyDescent="0.2">
      <c r="A5" t="s">
        <v>167</v>
      </c>
      <c r="B5">
        <v>0.5006425477076103</v>
      </c>
    </row>
    <row r="6" spans="1:9" x14ac:dyDescent="0.2">
      <c r="A6" t="s">
        <v>168</v>
      </c>
      <c r="B6">
        <v>0.3758031846345129</v>
      </c>
    </row>
    <row r="7" spans="1:9" x14ac:dyDescent="0.2">
      <c r="A7" t="s">
        <v>169</v>
      </c>
      <c r="B7">
        <v>7.5033817811576311</v>
      </c>
    </row>
    <row r="8" spans="1:9" ht="16" customHeight="1" thickBot="1" x14ac:dyDescent="0.25">
      <c r="A8" s="3" t="s">
        <v>170</v>
      </c>
      <c r="B8" s="3">
        <v>16</v>
      </c>
    </row>
    <row r="10" spans="1:9" ht="16" customHeight="1" thickBot="1" x14ac:dyDescent="0.25">
      <c r="A10" t="s">
        <v>171</v>
      </c>
    </row>
    <row r="11" spans="1:9" x14ac:dyDescent="0.2">
      <c r="A11" s="4"/>
      <c r="B11" s="4" t="s">
        <v>172</v>
      </c>
      <c r="C11" s="4" t="s">
        <v>173</v>
      </c>
      <c r="D11" s="4" t="s">
        <v>174</v>
      </c>
      <c r="E11" s="4" t="s">
        <v>175</v>
      </c>
      <c r="F11" s="4" t="s">
        <v>176</v>
      </c>
    </row>
    <row r="12" spans="1:9" x14ac:dyDescent="0.2">
      <c r="A12" t="s">
        <v>177</v>
      </c>
      <c r="B12">
        <v>3</v>
      </c>
      <c r="C12">
        <v>677.3475359043008</v>
      </c>
      <c r="D12">
        <v>225.78251196810029</v>
      </c>
      <c r="E12">
        <v>4.0102939920837972</v>
      </c>
      <c r="F12">
        <v>3.4341247116800151E-2</v>
      </c>
    </row>
    <row r="13" spans="1:9" x14ac:dyDescent="0.2">
      <c r="A13" t="s">
        <v>178</v>
      </c>
      <c r="B13">
        <v>12</v>
      </c>
      <c r="C13">
        <v>675.60885784569916</v>
      </c>
      <c r="D13">
        <v>56.300738153808261</v>
      </c>
    </row>
    <row r="14" spans="1:9" ht="16" customHeight="1" thickBot="1" x14ac:dyDescent="0.25">
      <c r="A14" s="3" t="s">
        <v>179</v>
      </c>
      <c r="B14" s="3">
        <v>15</v>
      </c>
      <c r="C14" s="3">
        <v>1352.95639375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180</v>
      </c>
      <c r="C16" s="4" t="s">
        <v>169</v>
      </c>
      <c r="D16" s="4" t="s">
        <v>181</v>
      </c>
      <c r="E16" s="4" t="s">
        <v>182</v>
      </c>
      <c r="F16" s="4" t="s">
        <v>183</v>
      </c>
      <c r="G16" s="4" t="s">
        <v>184</v>
      </c>
      <c r="H16" s="4" t="s">
        <v>185</v>
      </c>
      <c r="I16" s="4" t="s">
        <v>186</v>
      </c>
    </row>
    <row r="17" spans="1:9" x14ac:dyDescent="0.2">
      <c r="A17" t="s">
        <v>187</v>
      </c>
      <c r="B17">
        <v>-6.1146654210504821</v>
      </c>
      <c r="C17">
        <v>8.1401710482004663</v>
      </c>
      <c r="D17">
        <v>-0.75117161357466078</v>
      </c>
      <c r="E17">
        <v>0.46702563997897029</v>
      </c>
      <c r="F17">
        <v>-23.850574536555389</v>
      </c>
      <c r="G17">
        <v>11.621243694454421</v>
      </c>
      <c r="H17">
        <v>-23.850574536555389</v>
      </c>
      <c r="I17">
        <v>11.621243694454421</v>
      </c>
    </row>
    <row r="18" spans="1:9" x14ac:dyDescent="0.2">
      <c r="A18" t="s">
        <v>5</v>
      </c>
      <c r="B18">
        <v>15.660456094136469</v>
      </c>
      <c r="C18">
        <v>13.47550503313988</v>
      </c>
      <c r="D18">
        <v>1.162142424764282</v>
      </c>
      <c r="E18">
        <v>0.26777027569779421</v>
      </c>
      <c r="F18">
        <v>-13.70014715831401</v>
      </c>
      <c r="G18">
        <v>45.021059346586938</v>
      </c>
      <c r="H18">
        <v>-13.70014715831401</v>
      </c>
      <c r="I18">
        <v>45.021059346586938</v>
      </c>
    </row>
    <row r="19" spans="1:9" x14ac:dyDescent="0.2">
      <c r="A19" t="s">
        <v>7</v>
      </c>
      <c r="B19">
        <v>10.692011305247449</v>
      </c>
      <c r="C19">
        <v>12.252851286955259</v>
      </c>
      <c r="D19">
        <v>0.8726141413819718</v>
      </c>
      <c r="E19">
        <v>0.39999745929873171</v>
      </c>
      <c r="F19">
        <v>-16.004658278775281</v>
      </c>
      <c r="G19">
        <v>37.388680889270191</v>
      </c>
      <c r="H19">
        <v>-16.004658278775281</v>
      </c>
      <c r="I19">
        <v>37.388680889270191</v>
      </c>
    </row>
    <row r="20" spans="1:9" ht="16" customHeight="1" thickBot="1" x14ac:dyDescent="0.25">
      <c r="A20" s="3" t="s">
        <v>9</v>
      </c>
      <c r="B20" s="3">
        <v>-19.22850811845608</v>
      </c>
      <c r="C20" s="3">
        <v>7.4111112243807789</v>
      </c>
      <c r="D20" s="3">
        <v>-2.5945512806768982</v>
      </c>
      <c r="E20" s="3">
        <v>2.346032649084822E-2</v>
      </c>
      <c r="F20" s="3">
        <v>-35.37593233622772</v>
      </c>
      <c r="G20" s="3">
        <v>-3.0810839006844368</v>
      </c>
      <c r="H20" s="3">
        <v>-35.37593233622772</v>
      </c>
      <c r="I20" s="3">
        <v>-3.0810839006844368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Kd</vt:lpstr>
      <vt:lpstr>MLR</vt:lpstr>
      <vt:lpstr>C 2</vt:lpstr>
      <vt:lpstr>C 2+3</vt:lpstr>
      <vt:lpstr>C 2,3,6,7</vt:lpstr>
      <vt:lpstr>C RIVER</vt:lpstr>
      <vt:lpstr>C 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Morales, Diego Eraldo</cp:lastModifiedBy>
  <dcterms:created xsi:type="dcterms:W3CDTF">2026-09-23T22:38:39Z</dcterms:created>
  <dcterms:modified xsi:type="dcterms:W3CDTF">2026-10-07T15:47:53Z</dcterms:modified>
</cp:coreProperties>
</file>