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https://uncw4-my.sharepoint.com/personal/dem5075_uncw_edu/Documents/SSD/src/"/>
    </mc:Choice>
  </mc:AlternateContent>
  <xr:revisionPtr revIDLastSave="1" documentId="11_457922FD2ABC6DFCA567243282380D5714411EB3" xr6:coauthVersionLast="47" xr6:coauthVersionMax="47" xr10:uidLastSave="{0187A6C2-1F03-FE46-8495-18A9A8620DB1}"/>
  <bookViews>
    <workbookView xWindow="30240" yWindow="0" windowWidth="38400" windowHeight="21600" xr2:uid="{00000000-000D-0000-FFFF-FFFF00000000}"/>
  </bookViews>
  <sheets>
    <sheet name="Kd" sheetId="1" r:id="rId1"/>
    <sheet name="MLR" sheetId="2" r:id="rId2"/>
    <sheet name="C 2" sheetId="3" r:id="rId3"/>
    <sheet name="C 2+3" sheetId="4" r:id="rId4"/>
    <sheet name="C 2,3,6,7" sheetId="5" r:id="rId5"/>
    <sheet name="C RIVER" sheetId="6" r:id="rId6"/>
    <sheet name="C EST" sheetId="7" r:id="rId7"/>
    <sheet name="Kd-R2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3" i="8" l="1"/>
  <c r="R103" i="8"/>
  <c r="Q103" i="8"/>
  <c r="S102" i="8"/>
  <c r="R102" i="8"/>
  <c r="Q102" i="8"/>
  <c r="S101" i="8"/>
  <c r="R101" i="8"/>
  <c r="Q101" i="8"/>
  <c r="S100" i="8"/>
  <c r="R100" i="8"/>
  <c r="Q100" i="8"/>
  <c r="S99" i="8"/>
  <c r="R99" i="8"/>
  <c r="Q99" i="8"/>
  <c r="S98" i="8"/>
  <c r="R98" i="8"/>
  <c r="Q98" i="8"/>
  <c r="S97" i="8"/>
  <c r="R97" i="8"/>
  <c r="Q97" i="8"/>
  <c r="S96" i="8"/>
  <c r="R96" i="8"/>
  <c r="Q96" i="8"/>
  <c r="S95" i="8"/>
  <c r="R95" i="8"/>
  <c r="Q95" i="8"/>
  <c r="S94" i="8"/>
  <c r="R94" i="8"/>
  <c r="Q94" i="8"/>
  <c r="S93" i="8"/>
  <c r="R93" i="8"/>
  <c r="Q93" i="8"/>
  <c r="S92" i="8"/>
  <c r="R92" i="8"/>
  <c r="Q92" i="8"/>
  <c r="S91" i="8"/>
  <c r="R91" i="8"/>
  <c r="Q91" i="8"/>
  <c r="S90" i="8"/>
  <c r="R90" i="8"/>
  <c r="Q90" i="8"/>
  <c r="S89" i="8"/>
  <c r="R89" i="8"/>
  <c r="Q89" i="8"/>
  <c r="S88" i="8"/>
  <c r="R88" i="8"/>
  <c r="Q88" i="8"/>
  <c r="S87" i="8"/>
  <c r="R87" i="8"/>
  <c r="Q87" i="8"/>
  <c r="S86" i="8"/>
  <c r="R86" i="8"/>
  <c r="Q86" i="8"/>
  <c r="S85" i="8"/>
  <c r="R85" i="8"/>
  <c r="Q85" i="8"/>
  <c r="S84" i="8"/>
  <c r="R84" i="8"/>
  <c r="Q84" i="8"/>
  <c r="S83" i="8"/>
  <c r="R83" i="8"/>
  <c r="Q83" i="8"/>
  <c r="S82" i="8"/>
  <c r="R82" i="8"/>
  <c r="Q82" i="8"/>
  <c r="S81" i="8"/>
  <c r="R81" i="8"/>
  <c r="Q81" i="8"/>
  <c r="S80" i="8"/>
  <c r="R80" i="8"/>
  <c r="Q80" i="8"/>
  <c r="S79" i="8"/>
  <c r="R79" i="8"/>
  <c r="Q79" i="8"/>
  <c r="S78" i="8"/>
  <c r="R78" i="8"/>
  <c r="Q78" i="8"/>
  <c r="S77" i="8"/>
  <c r="R77" i="8"/>
  <c r="Q77" i="8"/>
  <c r="S76" i="8"/>
  <c r="R76" i="8"/>
  <c r="Q76" i="8"/>
  <c r="S75" i="8"/>
  <c r="R75" i="8"/>
  <c r="Q75" i="8"/>
  <c r="S74" i="8"/>
  <c r="R74" i="8"/>
  <c r="Q74" i="8"/>
  <c r="S73" i="8"/>
  <c r="R73" i="8"/>
  <c r="Q73" i="8"/>
  <c r="S72" i="8"/>
  <c r="R72" i="8"/>
  <c r="Q72" i="8"/>
  <c r="S71" i="8"/>
  <c r="R71" i="8"/>
  <c r="Q71" i="8"/>
  <c r="S70" i="8"/>
  <c r="R70" i="8"/>
  <c r="Q70" i="8"/>
  <c r="S69" i="8"/>
  <c r="R69" i="8"/>
  <c r="Q69" i="8"/>
  <c r="S68" i="8"/>
  <c r="R68" i="8"/>
  <c r="Q68" i="8"/>
  <c r="S67" i="8"/>
  <c r="R67" i="8"/>
  <c r="Q67" i="8"/>
  <c r="S66" i="8"/>
  <c r="R66" i="8"/>
  <c r="Q66" i="8"/>
  <c r="S65" i="8"/>
  <c r="R65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R58" i="8"/>
  <c r="Q58" i="8"/>
  <c r="S57" i="8"/>
  <c r="R57" i="8"/>
  <c r="Q57" i="8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35" i="8"/>
  <c r="R35" i="8"/>
  <c r="Q35" i="8"/>
  <c r="S34" i="8"/>
  <c r="R34" i="8"/>
  <c r="Q34" i="8"/>
  <c r="S33" i="8"/>
  <c r="R33" i="8"/>
  <c r="Q33" i="8"/>
  <c r="S32" i="8"/>
  <c r="R32" i="8"/>
  <c r="Q32" i="8"/>
  <c r="S31" i="8"/>
  <c r="R31" i="8"/>
  <c r="Q31" i="8"/>
  <c r="S30" i="8"/>
  <c r="R30" i="8"/>
  <c r="Q30" i="8"/>
  <c r="S29" i="8"/>
  <c r="R29" i="8"/>
  <c r="Q29" i="8"/>
  <c r="S28" i="8"/>
  <c r="R28" i="8"/>
  <c r="Q28" i="8"/>
  <c r="S27" i="8"/>
  <c r="R27" i="8"/>
  <c r="Q27" i="8"/>
  <c r="S26" i="8"/>
  <c r="R26" i="8"/>
  <c r="Q26" i="8"/>
  <c r="S25" i="8"/>
  <c r="R25" i="8"/>
  <c r="Q25" i="8"/>
  <c r="S24" i="8"/>
  <c r="R24" i="8"/>
  <c r="Q24" i="8"/>
  <c r="S23" i="8"/>
  <c r="R23" i="8"/>
  <c r="Q23" i="8"/>
  <c r="S22" i="8"/>
  <c r="R22" i="8"/>
  <c r="Q22" i="8"/>
  <c r="S21" i="8"/>
  <c r="R21" i="8"/>
  <c r="Q21" i="8"/>
  <c r="S20" i="8"/>
  <c r="R20" i="8"/>
  <c r="Q20" i="8"/>
  <c r="S19" i="8"/>
  <c r="R19" i="8"/>
  <c r="Q19" i="8"/>
  <c r="S18" i="8"/>
  <c r="R18" i="8"/>
  <c r="Q18" i="8"/>
  <c r="S17" i="8"/>
  <c r="R17" i="8"/>
  <c r="Q17" i="8"/>
  <c r="S16" i="8"/>
  <c r="R16" i="8"/>
  <c r="Q16" i="8"/>
  <c r="S15" i="8"/>
  <c r="R15" i="8"/>
  <c r="Q15" i="8"/>
  <c r="S14" i="8"/>
  <c r="R14" i="8"/>
  <c r="Q14" i="8"/>
  <c r="S13" i="8"/>
  <c r="R13" i="8"/>
  <c r="Q13" i="8"/>
  <c r="S12" i="8"/>
  <c r="R12" i="8"/>
  <c r="Q12" i="8"/>
  <c r="S11" i="8"/>
  <c r="R11" i="8"/>
  <c r="Q11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3" i="8"/>
  <c r="R3" i="8"/>
  <c r="Q3" i="8"/>
  <c r="S2" i="8"/>
  <c r="R2" i="8"/>
  <c r="Q2" i="8"/>
  <c r="S103" i="1"/>
  <c r="R103" i="1"/>
  <c r="Q103" i="1"/>
  <c r="S102" i="1"/>
  <c r="R102" i="1"/>
  <c r="Q102" i="1"/>
  <c r="S101" i="1"/>
  <c r="R101" i="1"/>
  <c r="Q101" i="1"/>
  <c r="S100" i="1"/>
  <c r="R100" i="1"/>
  <c r="Q100" i="1"/>
  <c r="S99" i="1"/>
  <c r="R99" i="1"/>
  <c r="Q99" i="1"/>
  <c r="S98" i="1"/>
  <c r="R98" i="1"/>
  <c r="Q98" i="1"/>
  <c r="S97" i="1"/>
  <c r="R97" i="1"/>
  <c r="Q97" i="1"/>
  <c r="S96" i="1"/>
  <c r="R96" i="1"/>
  <c r="Q96" i="1"/>
  <c r="S95" i="1"/>
  <c r="R95" i="1"/>
  <c r="Q95" i="1"/>
  <c r="S94" i="1"/>
  <c r="R94" i="1"/>
  <c r="Q94" i="1"/>
  <c r="S93" i="1"/>
  <c r="R93" i="1"/>
  <c r="Q93" i="1"/>
  <c r="S92" i="1"/>
  <c r="R92" i="1"/>
  <c r="Q92" i="1"/>
  <c r="S91" i="1"/>
  <c r="R91" i="1"/>
  <c r="Q91" i="1"/>
  <c r="S90" i="1"/>
  <c r="R90" i="1"/>
  <c r="Q90" i="1"/>
  <c r="S89" i="1"/>
  <c r="R89" i="1"/>
  <c r="Q89" i="1"/>
  <c r="S88" i="1"/>
  <c r="R88" i="1"/>
  <c r="Q88" i="1"/>
  <c r="S87" i="1"/>
  <c r="R87" i="1"/>
  <c r="Q87" i="1"/>
  <c r="S86" i="1"/>
  <c r="R86" i="1"/>
  <c r="Q86" i="1"/>
  <c r="S85" i="1"/>
  <c r="R85" i="1"/>
  <c r="Q85" i="1"/>
  <c r="S84" i="1"/>
  <c r="R84" i="1"/>
  <c r="Q84" i="1"/>
  <c r="S83" i="1"/>
  <c r="R83" i="1"/>
  <c r="Q83" i="1"/>
  <c r="S82" i="1"/>
  <c r="R82" i="1"/>
  <c r="Q82" i="1"/>
  <c r="S81" i="1"/>
  <c r="R81" i="1"/>
  <c r="Q81" i="1"/>
  <c r="S80" i="1"/>
  <c r="R80" i="1"/>
  <c r="Q80" i="1"/>
  <c r="S79" i="1"/>
  <c r="R79" i="1"/>
  <c r="Q79" i="1"/>
  <c r="S78" i="1"/>
  <c r="R78" i="1"/>
  <c r="Q78" i="1"/>
  <c r="S77" i="1"/>
  <c r="R77" i="1"/>
  <c r="Q77" i="1"/>
  <c r="S76" i="1"/>
  <c r="R76" i="1"/>
  <c r="Q76" i="1"/>
  <c r="S75" i="1"/>
  <c r="R75" i="1"/>
  <c r="Q75" i="1"/>
  <c r="S74" i="1"/>
  <c r="R74" i="1"/>
  <c r="Q74" i="1"/>
  <c r="S73" i="1"/>
  <c r="R73" i="1"/>
  <c r="Q73" i="1"/>
  <c r="S72" i="1"/>
  <c r="R72" i="1"/>
  <c r="Q72" i="1"/>
  <c r="S71" i="1"/>
  <c r="R71" i="1"/>
  <c r="Q71" i="1"/>
  <c r="S70" i="1"/>
  <c r="R70" i="1"/>
  <c r="Q70" i="1"/>
  <c r="S69" i="1"/>
  <c r="R69" i="1"/>
  <c r="Q69" i="1"/>
  <c r="S68" i="1"/>
  <c r="R68" i="1"/>
  <c r="Q68" i="1"/>
  <c r="S67" i="1"/>
  <c r="R67" i="1"/>
  <c r="Q67" i="1"/>
  <c r="S66" i="1"/>
  <c r="R66" i="1"/>
  <c r="Q66" i="1"/>
  <c r="S65" i="1"/>
  <c r="R65" i="1"/>
  <c r="Q65" i="1"/>
  <c r="S64" i="1"/>
  <c r="R64" i="1"/>
  <c r="Q64" i="1"/>
  <c r="S63" i="1"/>
  <c r="R63" i="1"/>
  <c r="Q63" i="1"/>
  <c r="S62" i="1"/>
  <c r="R62" i="1"/>
  <c r="Q62" i="1"/>
  <c r="S61" i="1"/>
  <c r="R61" i="1"/>
  <c r="Q61" i="1"/>
  <c r="S60" i="1"/>
  <c r="R60" i="1"/>
  <c r="Q60" i="1"/>
  <c r="S59" i="1"/>
  <c r="R59" i="1"/>
  <c r="Q59" i="1"/>
  <c r="S58" i="1"/>
  <c r="R58" i="1"/>
  <c r="Q58" i="1"/>
  <c r="S57" i="1"/>
  <c r="R57" i="1"/>
  <c r="Q57" i="1"/>
  <c r="S56" i="1"/>
  <c r="R56" i="1"/>
  <c r="Q56" i="1"/>
  <c r="S55" i="1"/>
  <c r="R55" i="1"/>
  <c r="Q55" i="1"/>
  <c r="S54" i="1"/>
  <c r="R54" i="1"/>
  <c r="Q54" i="1"/>
  <c r="S53" i="1"/>
  <c r="R53" i="1"/>
  <c r="Q53" i="1"/>
  <c r="S52" i="1"/>
  <c r="R52" i="1"/>
  <c r="Q52" i="1"/>
  <c r="S51" i="1"/>
  <c r="R51" i="1"/>
  <c r="Q51" i="1"/>
  <c r="S50" i="1"/>
  <c r="R50" i="1"/>
  <c r="Q50" i="1"/>
  <c r="S49" i="1"/>
  <c r="R49" i="1"/>
  <c r="Q49" i="1"/>
  <c r="S48" i="1"/>
  <c r="R48" i="1"/>
  <c r="Q48" i="1"/>
  <c r="S47" i="1"/>
  <c r="R47" i="1"/>
  <c r="Q47" i="1"/>
  <c r="S46" i="1"/>
  <c r="R46" i="1"/>
  <c r="Q46" i="1"/>
  <c r="S45" i="1"/>
  <c r="R45" i="1"/>
  <c r="Q45" i="1"/>
  <c r="S44" i="1"/>
  <c r="R44" i="1"/>
  <c r="Q44" i="1"/>
  <c r="S43" i="1"/>
  <c r="R43" i="1"/>
  <c r="Q43" i="1"/>
  <c r="S42" i="1"/>
  <c r="R42" i="1"/>
  <c r="Q42" i="1"/>
  <c r="S41" i="1"/>
  <c r="R41" i="1"/>
  <c r="Q41" i="1"/>
  <c r="S40" i="1"/>
  <c r="R40" i="1"/>
  <c r="Q40" i="1"/>
  <c r="S39" i="1"/>
  <c r="R39" i="1"/>
  <c r="Q39" i="1"/>
  <c r="S38" i="1"/>
  <c r="R38" i="1"/>
  <c r="Q38" i="1"/>
  <c r="S37" i="1"/>
  <c r="R37" i="1"/>
  <c r="Q37" i="1"/>
  <c r="S36" i="1"/>
  <c r="R36" i="1"/>
  <c r="Q36" i="1"/>
  <c r="S35" i="1"/>
  <c r="R35" i="1"/>
  <c r="Q35" i="1"/>
  <c r="S34" i="1"/>
  <c r="R34" i="1"/>
  <c r="Q34" i="1"/>
  <c r="S33" i="1"/>
  <c r="R33" i="1"/>
  <c r="Q33" i="1"/>
  <c r="S32" i="1"/>
  <c r="R32" i="1"/>
  <c r="Q32" i="1"/>
  <c r="S31" i="1"/>
  <c r="R31" i="1"/>
  <c r="Q31" i="1"/>
  <c r="S30" i="1"/>
  <c r="R30" i="1"/>
  <c r="Q30" i="1"/>
  <c r="S29" i="1"/>
  <c r="R29" i="1"/>
  <c r="Q29" i="1"/>
  <c r="S28" i="1"/>
  <c r="R28" i="1"/>
  <c r="Q28" i="1"/>
  <c r="S27" i="1"/>
  <c r="R27" i="1"/>
  <c r="Q27" i="1"/>
  <c r="S26" i="1"/>
  <c r="R26" i="1"/>
  <c r="Q26" i="1"/>
  <c r="S25" i="1"/>
  <c r="R25" i="1"/>
  <c r="Q25" i="1"/>
  <c r="S24" i="1"/>
  <c r="R24" i="1"/>
  <c r="Q24" i="1"/>
  <c r="S23" i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Q19" i="1"/>
  <c r="S18" i="1"/>
  <c r="R18" i="1"/>
  <c r="Q18" i="1"/>
  <c r="S17" i="1"/>
  <c r="R17" i="1"/>
  <c r="Q17" i="1"/>
  <c r="S16" i="1"/>
  <c r="R16" i="1"/>
  <c r="Q16" i="1"/>
  <c r="S15" i="1"/>
  <c r="R15" i="1"/>
  <c r="Q15" i="1"/>
  <c r="S14" i="1"/>
  <c r="R14" i="1"/>
  <c r="Q14" i="1"/>
  <c r="S13" i="1"/>
  <c r="R13" i="1"/>
  <c r="Q13" i="1"/>
  <c r="S12" i="1"/>
  <c r="R12" i="1"/>
  <c r="Q12" i="1"/>
  <c r="S11" i="1"/>
  <c r="R11" i="1"/>
  <c r="Q11" i="1"/>
  <c r="S10" i="1"/>
  <c r="R10" i="1"/>
  <c r="Q10" i="1"/>
  <c r="S9" i="1"/>
  <c r="R9" i="1"/>
  <c r="Q9" i="1"/>
  <c r="S8" i="1"/>
  <c r="R8" i="1"/>
  <c r="Q8" i="1"/>
  <c r="S7" i="1"/>
  <c r="R7" i="1"/>
  <c r="Q7" i="1"/>
  <c r="S6" i="1"/>
  <c r="R6" i="1"/>
  <c r="Q6" i="1"/>
  <c r="S5" i="1"/>
  <c r="R5" i="1"/>
  <c r="Q5" i="1"/>
  <c r="S4" i="1"/>
  <c r="R4" i="1"/>
  <c r="Q4" i="1"/>
  <c r="S3" i="1"/>
  <c r="R3" i="1"/>
  <c r="Q3" i="1"/>
  <c r="S2" i="1"/>
  <c r="R2" i="1"/>
  <c r="Q2" i="1"/>
</calcChain>
</file>

<file path=xl/sharedStrings.xml><?xml version="1.0" encoding="utf-8"?>
<sst xmlns="http://schemas.openxmlformats.org/spreadsheetml/2006/main" count="1283" uniqueCount="190">
  <si>
    <t>Cruise_#</t>
  </si>
  <si>
    <t>Date</t>
  </si>
  <si>
    <t>Station</t>
  </si>
  <si>
    <t>SSD_ID</t>
  </si>
  <si>
    <t>Filename</t>
  </si>
  <si>
    <t>415nm</t>
  </si>
  <si>
    <t>445nm</t>
  </si>
  <si>
    <t>480nm</t>
  </si>
  <si>
    <t>515nm</t>
  </si>
  <si>
    <t>555nm</t>
  </si>
  <si>
    <t>590nm</t>
  </si>
  <si>
    <t>630nm</t>
  </si>
  <si>
    <t>680nm</t>
  </si>
  <si>
    <t>µg Chl a/L, direct</t>
  </si>
  <si>
    <t>EXO2s</t>
  </si>
  <si>
    <t>DE</t>
  </si>
  <si>
    <t>Xing 412</t>
  </si>
  <si>
    <t>Xing 490</t>
  </si>
  <si>
    <t>Xing 555</t>
  </si>
  <si>
    <t>NC11</t>
  </si>
  <si>
    <t>A016</t>
  </si>
  <si>
    <t>260527-01(NC11)-A016.txt</t>
  </si>
  <si>
    <t>ACME</t>
  </si>
  <si>
    <t>260527-02(ACME)-A016.txt</t>
  </si>
  <si>
    <t>DP</t>
  </si>
  <si>
    <t>260527-03(DP)-A016.txt</t>
  </si>
  <si>
    <t>BBT</t>
  </si>
  <si>
    <t>260527-04(BBT)-A016.txt</t>
  </si>
  <si>
    <t>IC-1</t>
  </si>
  <si>
    <t>260527-05(IC-1)-A016.txt</t>
  </si>
  <si>
    <t>IC-2</t>
  </si>
  <si>
    <t>260527-05(IC-2)-A016.txt</t>
  </si>
  <si>
    <t>NAV</t>
  </si>
  <si>
    <t>260527-06(NAV)-A016.txt</t>
  </si>
  <si>
    <t>HB</t>
  </si>
  <si>
    <t>260527-07(HB)-A016.txt</t>
  </si>
  <si>
    <t>NCF6</t>
  </si>
  <si>
    <t>260527-08(NCF6)-A016.txt</t>
  </si>
  <si>
    <t>260603-01(NCF6)-A016.txt</t>
  </si>
  <si>
    <t>260603-02(NC11)-A016.txt</t>
  </si>
  <si>
    <t>260603-03(ACME)-A016.txt</t>
  </si>
  <si>
    <t>260603-04(DP)-A016.txt</t>
  </si>
  <si>
    <t>260603-05(BBT)-A016.txt</t>
  </si>
  <si>
    <t>IC</t>
  </si>
  <si>
    <t>260603-06(IC)-A016.txt</t>
  </si>
  <si>
    <t>M18</t>
  </si>
  <si>
    <t>260610-01(M18)-A016.txt</t>
  </si>
  <si>
    <t>M23</t>
  </si>
  <si>
    <t>260610-02(M23)-A016.txt</t>
  </si>
  <si>
    <t>M35</t>
  </si>
  <si>
    <t>260610-03(M35)-A016.txt</t>
  </si>
  <si>
    <t>M54</t>
  </si>
  <si>
    <t>260610-04(M54)-A016.txt</t>
  </si>
  <si>
    <t>BRR</t>
  </si>
  <si>
    <t>260610-05(BRR)-A016.txt</t>
  </si>
  <si>
    <t>260610-06(NAV)-A016.txt</t>
  </si>
  <si>
    <t>260610-07(HB)-A016.txt</t>
  </si>
  <si>
    <t>NC11-1</t>
  </si>
  <si>
    <t>260618-01(NC11-1)-A016.txt</t>
  </si>
  <si>
    <t>NC11-2</t>
  </si>
  <si>
    <t>A017</t>
  </si>
  <si>
    <t>260618-01(NC11-2)-A017.txt</t>
  </si>
  <si>
    <t>ACME-1</t>
  </si>
  <si>
    <t>260618-02(ACME-1)-A016.txt</t>
  </si>
  <si>
    <t>ACME-2</t>
  </si>
  <si>
    <t>260618-02(ACME-2)-A017.txt</t>
  </si>
  <si>
    <t>DP-1</t>
  </si>
  <si>
    <t>260618-03(DP-1)-A016.txt</t>
  </si>
  <si>
    <t>DP-2</t>
  </si>
  <si>
    <t>260618-03(DP-2)-A017.txt</t>
  </si>
  <si>
    <t>BBT-1</t>
  </si>
  <si>
    <t>260618-04(BBT-1)-A016.txt</t>
  </si>
  <si>
    <t>BBT-2</t>
  </si>
  <si>
    <t>260618-04(BBT-2)-A017.txt</t>
  </si>
  <si>
    <t>260618-05(IC-1)-A016.txt</t>
  </si>
  <si>
    <t>260618-05(IC-2)-A017.txt</t>
  </si>
  <si>
    <t>NCF6-1</t>
  </si>
  <si>
    <t>260618-06(NCF6-1)-A016.txt</t>
  </si>
  <si>
    <t>NCF6-2</t>
  </si>
  <si>
    <t>260618-06(NCF6-2)-A017.txt</t>
  </si>
  <si>
    <t>260625-01(M18)-A017.txt</t>
  </si>
  <si>
    <t>260625-02(M23)-A017.txt</t>
  </si>
  <si>
    <t>260625-03(M35)-A017.txt</t>
  </si>
  <si>
    <t>260625-04(M54)-A017.txt</t>
  </si>
  <si>
    <t>260625-05(BRR)-A017.txt</t>
  </si>
  <si>
    <t>M61</t>
  </si>
  <si>
    <t>260625-06(M61)-A017.txt</t>
  </si>
  <si>
    <t>260625-07(HB)-A017.txt</t>
  </si>
  <si>
    <t>260625-08(NAV)-A017.txt</t>
  </si>
  <si>
    <t>260702-01(M18)-A017.txt</t>
  </si>
  <si>
    <t>M23-1</t>
  </si>
  <si>
    <t>260702-02(M23-1)-A017.txt</t>
  </si>
  <si>
    <t>M23-2</t>
  </si>
  <si>
    <t>260702-02(M23-2)-A017.txt</t>
  </si>
  <si>
    <t>260702-03(M35)-A017.txt</t>
  </si>
  <si>
    <t>260702-04(M54)-A017.txt</t>
  </si>
  <si>
    <t>260702-05(BRR)-A017.txt</t>
  </si>
  <si>
    <t>260702-06(M61)-A017.txt</t>
  </si>
  <si>
    <t>260702-07(HB)-A017.txt</t>
  </si>
  <si>
    <t>260702-08(NAV)-A017.txt</t>
  </si>
  <si>
    <t>260709-01(NCF6)-A017.txt</t>
  </si>
  <si>
    <t>260709-02(NC11)-A017.txt</t>
  </si>
  <si>
    <t>260709-03(ACME)-A017.txt</t>
  </si>
  <si>
    <t>260709-04(DP)-A017.txt</t>
  </si>
  <si>
    <t>260709-05(BBT-1)-A017.txt</t>
  </si>
  <si>
    <t>260709-05(BBT-2)-A017.txt</t>
  </si>
  <si>
    <t>260709-06(IC)-A017.txt</t>
  </si>
  <si>
    <t>260716-01(M18)-A017.txt</t>
  </si>
  <si>
    <t>260716-02(M23)-A017.txt</t>
  </si>
  <si>
    <t>260716-03(M35)-A017.txt</t>
  </si>
  <si>
    <t>260716-04(M54)-A017.txt</t>
  </si>
  <si>
    <t>260716-05(BRR)-A017.txt</t>
  </si>
  <si>
    <t>260716-06(M61)-A017.txt</t>
  </si>
  <si>
    <t>260716-07(NCF6)-A017.txt</t>
  </si>
  <si>
    <t>260728-01(NC11)-A017.txt</t>
  </si>
  <si>
    <t>260728-02(ACME-1)-A017.txt</t>
  </si>
  <si>
    <t>260728-02(ACME-2)-A017.txt</t>
  </si>
  <si>
    <t>260728-03(DP)-A017.txt</t>
  </si>
  <si>
    <t>260728-04(BBT)-A017.txt</t>
  </si>
  <si>
    <t>260728-05(IC)-A017.txt</t>
  </si>
  <si>
    <t>NAV-1</t>
  </si>
  <si>
    <t>260728-06(NAV-1)-A017.txt</t>
  </si>
  <si>
    <t>NAV-2</t>
  </si>
  <si>
    <t>260728-06(NAV-2)-A017.txt</t>
  </si>
  <si>
    <t>260728-07(HB)-A017.txt</t>
  </si>
  <si>
    <t>260805-01(M18)-A017.txt</t>
  </si>
  <si>
    <t>260805-02(M23)-A017.txt</t>
  </si>
  <si>
    <t>260805-03(M35)-A017.txt</t>
  </si>
  <si>
    <t>260805-04(M54)-A017.txt</t>
  </si>
  <si>
    <t>260805-05(BRR)-A017.txt</t>
  </si>
  <si>
    <t>260805-06(NAV-1)-A017.txt</t>
  </si>
  <si>
    <t>260805-06(NAV-2)-A017.txt</t>
  </si>
  <si>
    <t>260805-07(HB)-A017.txt</t>
  </si>
  <si>
    <t>260805-08(M61)-A017.txt</t>
  </si>
  <si>
    <t>260811-01(NCF6)-A017.txt</t>
  </si>
  <si>
    <t>260811-02(NC11)-A017.txt</t>
  </si>
  <si>
    <t>260811-03(ACME)-A017.txt</t>
  </si>
  <si>
    <t>260811-05(BBT)-A016.txt</t>
  </si>
  <si>
    <t>260811-06(IC)-A016.txt</t>
  </si>
  <si>
    <t>260814-01(M18)-A016.txt</t>
  </si>
  <si>
    <t>260814-02(M23)-A016.txt</t>
  </si>
  <si>
    <t>260814-03(M35)-A016.txt</t>
  </si>
  <si>
    <t>260814-04(M54)-A016.txt</t>
  </si>
  <si>
    <t>260814-05(BRR)-A016.txt</t>
  </si>
  <si>
    <t>260814-06(M61)-A016.txt</t>
  </si>
  <si>
    <t>260814-07(NCF6)-A016.txt</t>
  </si>
  <si>
    <t>260828-01(HB)-A016.txt</t>
  </si>
  <si>
    <t>260828-02(NAV)-A016.txt</t>
  </si>
  <si>
    <t>260828-03(IC)-A016.txt</t>
  </si>
  <si>
    <t>260828-04(BBT)-A016.txt</t>
  </si>
  <si>
    <t>260828-05(DP)-A016.txt</t>
  </si>
  <si>
    <t>260828-06(ACME)-A016.txt</t>
  </si>
  <si>
    <t>260828-07(NC11)-A016.txt</t>
  </si>
  <si>
    <t>R-squared (metadata window)</t>
  </si>
  <si>
    <t>Notes</t>
  </si>
  <si>
    <t>680 - 0.944</t>
  </si>
  <si>
    <t>680 = 0.948</t>
  </si>
  <si>
    <t>415 = 0.949</t>
  </si>
  <si>
    <t>415 and 445: &lt; 0.95</t>
  </si>
  <si>
    <t>555 and 590 &lt; 0.95</t>
  </si>
  <si>
    <t>590: &lt; 0.95</t>
  </si>
  <si>
    <t>445 - 630 &lt; 0.95</t>
  </si>
  <si>
    <t>555, 590, and 630 &lt; 0.95</t>
  </si>
  <si>
    <t>All bands except 445 &lt; 0.95</t>
  </si>
  <si>
    <t>480 &lt; 0.95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</si>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</sst>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2" xfId="0" applyBorder="1"/>
    <xf numFmtId="0" fontId="3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Continuous"/>
    </xf>
    <xf numFmtId="0" fontId="1" fillId="2" borderId="1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13"/>
  <sheetViews>
    <sheetView tabSelected="1" topLeftCell="A99" workbookViewId="0">
      <selection activeCell="F113" sqref="A110:M213"/>
    </sheetView>
  </sheetViews>
  <sheetFormatPr baseColWidth="10" defaultColWidth="8.83203125" defaultRowHeight="15" x14ac:dyDescent="0.2"/>
  <cols>
    <col min="5" max="5" width="25.5" customWidth="1"/>
    <col min="14" max="14" width="16.6640625" customWidth="1"/>
    <col min="17" max="17" width="10.1640625" customWidth="1"/>
    <col min="18" max="18" width="10.33203125" customWidth="1"/>
    <col min="19" max="19" width="10.5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/>
      <c r="U1" s="1"/>
      <c r="V1" s="1"/>
      <c r="W1" s="1"/>
      <c r="X1" s="1"/>
      <c r="Y1" s="2"/>
      <c r="Z1" s="2"/>
    </row>
    <row r="2" spans="1:26" x14ac:dyDescent="0.2">
      <c r="A2" s="2">
        <v>1</v>
      </c>
      <c r="B2" s="2">
        <v>260527</v>
      </c>
      <c r="C2" s="2" t="s">
        <v>19</v>
      </c>
      <c r="D2" s="2" t="s">
        <v>20</v>
      </c>
      <c r="E2" s="2" t="s">
        <v>21</v>
      </c>
      <c r="F2" s="2">
        <v>0.96700598858048681</v>
      </c>
      <c r="G2" s="2">
        <v>1.3945200997449401</v>
      </c>
      <c r="H2" s="2">
        <v>1.3916944191007461</v>
      </c>
      <c r="I2" s="2">
        <v>1.045315135381633</v>
      </c>
      <c r="J2" s="2">
        <v>0.7532023706976394</v>
      </c>
      <c r="K2" s="2">
        <v>0.64518830093404156</v>
      </c>
      <c r="L2" s="2">
        <v>0.602453286838044</v>
      </c>
      <c r="M2" s="2">
        <v>0.63920221701840885</v>
      </c>
      <c r="N2" s="2"/>
      <c r="O2" s="2"/>
      <c r="P2" s="2"/>
      <c r="Q2" s="2">
        <f t="shared" ref="Q2:Q33" si="0">((F2- 0.00793) / 0.1333)^(1/0.6199)</f>
        <v>24.127811781207633</v>
      </c>
      <c r="R2" s="2">
        <f t="shared" ref="R2:R33" si="1">((H2- 0.0166) / 0.0825)^(1/0.6529)</f>
        <v>74.381268282629165</v>
      </c>
      <c r="S2" s="2">
        <f t="shared" ref="S2:S33" si="2">((J2- 0.06053) / 0.0561)^(1/0.507)</f>
        <v>142.22900530921268</v>
      </c>
      <c r="T2" s="2"/>
      <c r="U2" s="2"/>
      <c r="V2" s="2"/>
      <c r="W2" s="2"/>
      <c r="X2" s="2"/>
      <c r="Y2" s="2"/>
      <c r="Z2" s="2"/>
    </row>
    <row r="3" spans="1:26" x14ac:dyDescent="0.2">
      <c r="A3" s="2">
        <v>1</v>
      </c>
      <c r="B3" s="2">
        <v>260527</v>
      </c>
      <c r="C3" s="2" t="s">
        <v>22</v>
      </c>
      <c r="D3" s="2" t="s">
        <v>20</v>
      </c>
      <c r="E3" s="2" t="s">
        <v>23</v>
      </c>
      <c r="F3" s="2">
        <v>2.619056659817268</v>
      </c>
      <c r="G3" s="2">
        <v>3.1457018871806</v>
      </c>
      <c r="H3" s="2">
        <v>3.091585915088789</v>
      </c>
      <c r="I3" s="2">
        <v>2.647329481810806</v>
      </c>
      <c r="J3" s="2">
        <v>2.181262687471841</v>
      </c>
      <c r="K3" s="2">
        <v>2.005849672555887</v>
      </c>
      <c r="L3" s="2">
        <v>1.911218820136084</v>
      </c>
      <c r="M3" s="2">
        <v>1.8573008742999559</v>
      </c>
      <c r="N3" s="2"/>
      <c r="O3" s="2"/>
      <c r="P3" s="2"/>
      <c r="Q3" s="2">
        <f t="shared" si="0"/>
        <v>121.39577286202464</v>
      </c>
      <c r="R3" s="2">
        <f t="shared" si="1"/>
        <v>255.14311893188111</v>
      </c>
      <c r="S3" s="2">
        <f t="shared" si="2"/>
        <v>1292.6630750720667</v>
      </c>
      <c r="T3" s="2"/>
      <c r="U3" s="2"/>
      <c r="V3" s="2"/>
      <c r="W3" s="2"/>
      <c r="X3" s="2"/>
      <c r="Y3" s="2"/>
      <c r="Z3" s="2"/>
    </row>
    <row r="4" spans="1:26" x14ac:dyDescent="0.2">
      <c r="A4" s="2">
        <v>1</v>
      </c>
      <c r="B4" s="2">
        <v>260527</v>
      </c>
      <c r="C4" s="2" t="s">
        <v>24</v>
      </c>
      <c r="D4" s="2" t="s">
        <v>20</v>
      </c>
      <c r="E4" s="2" t="s">
        <v>25</v>
      </c>
      <c r="F4" s="2">
        <v>2.9642322369465379</v>
      </c>
      <c r="G4" s="2">
        <v>3.4490892778236022</v>
      </c>
      <c r="H4" s="2">
        <v>3.341478001812872</v>
      </c>
      <c r="I4" s="2">
        <v>2.8370220867176452</v>
      </c>
      <c r="J4" s="2">
        <v>2.3695312630320329</v>
      </c>
      <c r="K4" s="2">
        <v>2.1553823850310652</v>
      </c>
      <c r="L4" s="2">
        <v>1.9900388807699481</v>
      </c>
      <c r="M4" s="2">
        <v>1.95560479244025</v>
      </c>
      <c r="N4" s="2"/>
      <c r="O4" s="2"/>
      <c r="P4" s="2"/>
      <c r="Q4" s="2">
        <f t="shared" si="0"/>
        <v>148.3155806097655</v>
      </c>
      <c r="R4" s="2">
        <f t="shared" si="1"/>
        <v>287.57819902692012</v>
      </c>
      <c r="S4" s="2">
        <f t="shared" si="2"/>
        <v>1528.7688773745526</v>
      </c>
      <c r="T4" s="2"/>
      <c r="U4" s="2"/>
      <c r="V4" s="2"/>
      <c r="W4" s="2"/>
      <c r="X4" s="2"/>
      <c r="Y4" s="2"/>
      <c r="Z4" s="2"/>
    </row>
    <row r="5" spans="1:26" x14ac:dyDescent="0.2">
      <c r="A5" s="2">
        <v>1</v>
      </c>
      <c r="B5" s="2">
        <v>260527</v>
      </c>
      <c r="C5" s="2" t="s">
        <v>26</v>
      </c>
      <c r="D5" s="2" t="s">
        <v>20</v>
      </c>
      <c r="E5" s="2" t="s">
        <v>27</v>
      </c>
      <c r="F5" s="2">
        <v>3.1764160305084932</v>
      </c>
      <c r="G5" s="2">
        <v>3.5127535035054711</v>
      </c>
      <c r="H5" s="2">
        <v>4.0654315417642852</v>
      </c>
      <c r="I5" s="2">
        <v>3.8183685073733509</v>
      </c>
      <c r="J5" s="2">
        <v>3.2550150266766278</v>
      </c>
      <c r="K5" s="2">
        <v>2.9855713404427089</v>
      </c>
      <c r="L5" s="2">
        <v>2.710566149756759</v>
      </c>
      <c r="M5" s="2">
        <v>2.5888701681401041</v>
      </c>
      <c r="N5" s="2"/>
      <c r="O5" s="2"/>
      <c r="P5" s="2"/>
      <c r="Q5" s="2">
        <f t="shared" si="0"/>
        <v>165.86233594677012</v>
      </c>
      <c r="R5" s="2">
        <f t="shared" si="1"/>
        <v>388.85963230518382</v>
      </c>
      <c r="S5" s="2">
        <f t="shared" si="2"/>
        <v>2900.0291155967293</v>
      </c>
      <c r="T5" s="2"/>
      <c r="U5" s="2"/>
      <c r="V5" s="2"/>
      <c r="W5" s="2"/>
      <c r="X5" s="2"/>
      <c r="Y5" s="2"/>
      <c r="Z5" s="2"/>
    </row>
    <row r="6" spans="1:26" x14ac:dyDescent="0.2">
      <c r="A6" s="2">
        <v>1</v>
      </c>
      <c r="B6" s="2">
        <v>260527</v>
      </c>
      <c r="C6" s="2" t="s">
        <v>28</v>
      </c>
      <c r="D6" s="2" t="s">
        <v>20</v>
      </c>
      <c r="E6" s="2" t="s">
        <v>29</v>
      </c>
      <c r="F6" s="2">
        <v>2.7566235533332222</v>
      </c>
      <c r="G6" s="2">
        <v>3.4261091517987938</v>
      </c>
      <c r="H6" s="2">
        <v>3.6130070558802991</v>
      </c>
      <c r="I6" s="2">
        <v>3.1066146366961549</v>
      </c>
      <c r="J6" s="2">
        <v>2.5385540862878888</v>
      </c>
      <c r="K6" s="2">
        <v>2.2053123384349251</v>
      </c>
      <c r="L6" s="2">
        <v>1.969462150659727</v>
      </c>
      <c r="M6" s="2">
        <v>1.751545329575809</v>
      </c>
      <c r="N6" s="2"/>
      <c r="O6" s="2"/>
      <c r="P6" s="2"/>
      <c r="Q6" s="2">
        <f t="shared" si="0"/>
        <v>131.87865313194007</v>
      </c>
      <c r="R6" s="2">
        <f t="shared" si="1"/>
        <v>324.3201639033407</v>
      </c>
      <c r="S6" s="2">
        <f t="shared" si="2"/>
        <v>1757.3461802671554</v>
      </c>
      <c r="T6" s="2"/>
      <c r="U6" s="2"/>
      <c r="V6" s="2"/>
      <c r="W6" s="2"/>
      <c r="X6" s="2"/>
      <c r="Y6" s="2"/>
      <c r="Z6" s="2"/>
    </row>
    <row r="7" spans="1:26" x14ac:dyDescent="0.2">
      <c r="A7" s="2">
        <v>1</v>
      </c>
      <c r="B7" s="2">
        <v>260527</v>
      </c>
      <c r="C7" s="2" t="s">
        <v>30</v>
      </c>
      <c r="D7" s="2" t="s">
        <v>20</v>
      </c>
      <c r="E7" s="2" t="s">
        <v>31</v>
      </c>
      <c r="F7" s="2">
        <v>2.6008360935853441</v>
      </c>
      <c r="G7" s="2">
        <v>3.098818824720023</v>
      </c>
      <c r="H7" s="2">
        <v>3.278723035565279</v>
      </c>
      <c r="I7" s="2">
        <v>2.9036887347837208</v>
      </c>
      <c r="J7" s="2">
        <v>2.2753656573227161</v>
      </c>
      <c r="K7" s="2">
        <v>2.056943353358283</v>
      </c>
      <c r="L7" s="2">
        <v>1.820654246211322</v>
      </c>
      <c r="M7" s="2">
        <v>1.692654043544604</v>
      </c>
      <c r="N7" s="2"/>
      <c r="O7" s="2"/>
      <c r="P7" s="2"/>
      <c r="Q7" s="2">
        <f t="shared" si="0"/>
        <v>120.03217937299132</v>
      </c>
      <c r="R7" s="2">
        <f t="shared" si="1"/>
        <v>279.30657458737107</v>
      </c>
      <c r="S7" s="2">
        <f t="shared" si="2"/>
        <v>1408.2372547744014</v>
      </c>
      <c r="T7" s="2"/>
      <c r="U7" s="2"/>
      <c r="V7" s="2"/>
      <c r="W7" s="2"/>
      <c r="X7" s="2"/>
      <c r="Y7" s="2"/>
      <c r="Z7" s="2"/>
    </row>
    <row r="8" spans="1:26" x14ac:dyDescent="0.2">
      <c r="A8" s="2">
        <v>1</v>
      </c>
      <c r="B8" s="2">
        <v>260527</v>
      </c>
      <c r="C8" s="2" t="s">
        <v>32</v>
      </c>
      <c r="D8" s="2" t="s">
        <v>20</v>
      </c>
      <c r="E8" s="2" t="s">
        <v>33</v>
      </c>
      <c r="F8" s="2">
        <v>4.5181567197723789</v>
      </c>
      <c r="G8" s="2">
        <v>5.3838879957617927</v>
      </c>
      <c r="H8" s="2">
        <v>5.5216388684627056</v>
      </c>
      <c r="I8" s="2">
        <v>4.9233497118228362</v>
      </c>
      <c r="J8" s="2">
        <v>4.1553833383842287</v>
      </c>
      <c r="K8" s="2">
        <v>3.7725522338591801</v>
      </c>
      <c r="L8" s="2">
        <v>3.4568105233087829</v>
      </c>
      <c r="M8" s="2">
        <v>3.250209267156476</v>
      </c>
      <c r="N8" s="2"/>
      <c r="O8" s="2"/>
      <c r="P8" s="2"/>
      <c r="Q8" s="2">
        <f t="shared" si="0"/>
        <v>293.17090308079713</v>
      </c>
      <c r="R8" s="2">
        <f t="shared" si="1"/>
        <v>622.52822377657731</v>
      </c>
      <c r="S8" s="2">
        <f t="shared" si="2"/>
        <v>4732.5976808483401</v>
      </c>
      <c r="T8" s="2"/>
      <c r="U8" s="2"/>
      <c r="V8" s="2"/>
      <c r="W8" s="2"/>
      <c r="X8" s="2"/>
      <c r="Y8" s="2"/>
      <c r="Z8" s="2"/>
    </row>
    <row r="9" spans="1:26" x14ac:dyDescent="0.2">
      <c r="A9" s="2">
        <v>1</v>
      </c>
      <c r="B9" s="2">
        <v>260527</v>
      </c>
      <c r="C9" s="2" t="s">
        <v>34</v>
      </c>
      <c r="D9" s="2" t="s">
        <v>20</v>
      </c>
      <c r="E9" s="2" t="s">
        <v>35</v>
      </c>
      <c r="F9" s="2">
        <v>2.986839884575518</v>
      </c>
      <c r="G9" s="2">
        <v>3.4858683267223172</v>
      </c>
      <c r="H9" s="2">
        <v>3.433100389607628</v>
      </c>
      <c r="I9" s="2">
        <v>2.9280776810349991</v>
      </c>
      <c r="J9" s="2">
        <v>2.063210815234505</v>
      </c>
      <c r="K9" s="2">
        <v>1.8468796397246321</v>
      </c>
      <c r="L9" s="2">
        <v>1.5128358569077041</v>
      </c>
      <c r="M9" s="2">
        <v>1.4244586307487961</v>
      </c>
      <c r="N9" s="2"/>
      <c r="O9" s="2"/>
      <c r="P9" s="2"/>
      <c r="Q9" s="2">
        <f t="shared" si="0"/>
        <v>150.14953150025272</v>
      </c>
      <c r="R9" s="2">
        <f t="shared" si="1"/>
        <v>299.8043939615622</v>
      </c>
      <c r="S9" s="2">
        <f t="shared" si="2"/>
        <v>1154.5794384526646</v>
      </c>
      <c r="T9" s="2"/>
      <c r="U9" s="2"/>
      <c r="V9" s="2"/>
      <c r="W9" s="2"/>
      <c r="X9" s="2"/>
      <c r="Y9" s="2"/>
      <c r="Z9" s="2"/>
    </row>
    <row r="10" spans="1:26" x14ac:dyDescent="0.2">
      <c r="A10" s="2">
        <v>1</v>
      </c>
      <c r="B10" s="2">
        <v>260527</v>
      </c>
      <c r="C10" s="2" t="s">
        <v>36</v>
      </c>
      <c r="D10" s="2" t="s">
        <v>20</v>
      </c>
      <c r="E10" s="2" t="s">
        <v>37</v>
      </c>
      <c r="F10" s="2">
        <v>3.946038840554738</v>
      </c>
      <c r="G10" s="2">
        <v>4.5425767923333922</v>
      </c>
      <c r="H10" s="2">
        <v>5.0387573761764557</v>
      </c>
      <c r="I10" s="2">
        <v>4.385853990763473</v>
      </c>
      <c r="J10" s="2">
        <v>3.6860679590038581</v>
      </c>
      <c r="K10" s="2">
        <v>3.178124865297717</v>
      </c>
      <c r="L10" s="2">
        <v>2.6694965046151098</v>
      </c>
      <c r="M10" s="2">
        <v>2.525472812854185</v>
      </c>
      <c r="N10" s="2"/>
      <c r="O10" s="2"/>
      <c r="P10" s="2"/>
      <c r="Q10" s="2">
        <f t="shared" si="0"/>
        <v>235.55284048582206</v>
      </c>
      <c r="R10" s="2">
        <f t="shared" si="1"/>
        <v>540.8700364709515</v>
      </c>
      <c r="S10" s="2">
        <f t="shared" si="2"/>
        <v>3722.4391233230949</v>
      </c>
      <c r="T10" s="2"/>
      <c r="U10" s="2"/>
      <c r="V10" s="2"/>
      <c r="W10" s="2"/>
      <c r="X10" s="2"/>
      <c r="Y10" s="2"/>
      <c r="Z10" s="2"/>
    </row>
    <row r="11" spans="1:26" x14ac:dyDescent="0.2">
      <c r="A11" s="2">
        <v>2</v>
      </c>
      <c r="B11" s="2">
        <v>260603</v>
      </c>
      <c r="C11" s="2" t="s">
        <v>36</v>
      </c>
      <c r="D11" s="2" t="s">
        <v>20</v>
      </c>
      <c r="E11" s="2" t="s">
        <v>38</v>
      </c>
      <c r="F11" s="2">
        <v>1.8707396984322451</v>
      </c>
      <c r="G11" s="2">
        <v>1.9393151216937881</v>
      </c>
      <c r="H11" s="2">
        <v>2.2782974086044669</v>
      </c>
      <c r="I11" s="2">
        <v>2.4556110726620068</v>
      </c>
      <c r="J11" s="2">
        <v>2.1121533159651</v>
      </c>
      <c r="K11" s="2">
        <v>1.776208678961908</v>
      </c>
      <c r="L11" s="2">
        <v>1.6172539542820961</v>
      </c>
      <c r="M11" s="2">
        <v>1.499647203386921</v>
      </c>
      <c r="N11" s="2">
        <v>11.7</v>
      </c>
      <c r="O11" s="2"/>
      <c r="P11" s="2"/>
      <c r="Q11" s="2">
        <f t="shared" si="0"/>
        <v>70.407335252157552</v>
      </c>
      <c r="R11" s="2">
        <f t="shared" si="1"/>
        <v>159.38646927878187</v>
      </c>
      <c r="S11" s="2">
        <f t="shared" si="2"/>
        <v>1210.893770369845</v>
      </c>
      <c r="T11" s="2"/>
      <c r="U11" s="2"/>
      <c r="V11" s="2"/>
      <c r="W11" s="2"/>
      <c r="X11" s="2"/>
      <c r="Y11" s="2"/>
      <c r="Z11" s="2"/>
    </row>
    <row r="12" spans="1:26" x14ac:dyDescent="0.2">
      <c r="A12" s="2">
        <v>2</v>
      </c>
      <c r="B12" s="2">
        <v>260603</v>
      </c>
      <c r="C12" s="2" t="s">
        <v>19</v>
      </c>
      <c r="D12" s="2" t="s">
        <v>20</v>
      </c>
      <c r="E12" s="2" t="s">
        <v>39</v>
      </c>
      <c r="F12" s="2">
        <v>1.3739572450883579</v>
      </c>
      <c r="G12" s="2">
        <v>1.609475828859098</v>
      </c>
      <c r="H12" s="2">
        <v>1.8709278320460521</v>
      </c>
      <c r="I12" s="2">
        <v>1.7113477514748989</v>
      </c>
      <c r="J12" s="2">
        <v>1.3974177888063279</v>
      </c>
      <c r="K12" s="2">
        <v>1.2733721088095791</v>
      </c>
      <c r="L12" s="2">
        <v>1.2604155958204419</v>
      </c>
      <c r="M12" s="2">
        <v>1.284033353794507</v>
      </c>
      <c r="N12" s="2">
        <v>4.2</v>
      </c>
      <c r="O12" s="2"/>
      <c r="P12" s="2"/>
      <c r="Q12" s="2">
        <f t="shared" si="0"/>
        <v>42.688418860256903</v>
      </c>
      <c r="R12" s="2">
        <f t="shared" si="1"/>
        <v>117.58491597788586</v>
      </c>
      <c r="S12" s="2">
        <f t="shared" si="2"/>
        <v>520.27969158966937</v>
      </c>
      <c r="T12" s="2"/>
      <c r="U12" s="2"/>
      <c r="V12" s="2"/>
      <c r="W12" s="2"/>
      <c r="X12" s="2"/>
      <c r="Y12" s="2"/>
      <c r="Z12" s="2"/>
    </row>
    <row r="13" spans="1:26" x14ac:dyDescent="0.2">
      <c r="A13" s="2">
        <v>2</v>
      </c>
      <c r="B13" s="2">
        <v>260603</v>
      </c>
      <c r="C13" s="2" t="s">
        <v>22</v>
      </c>
      <c r="D13" s="2" t="s">
        <v>20</v>
      </c>
      <c r="E13" s="2" t="s">
        <v>40</v>
      </c>
      <c r="F13" s="2">
        <v>1.540321149122488</v>
      </c>
      <c r="G13" s="2">
        <v>1.6969714968831751</v>
      </c>
      <c r="H13" s="2">
        <v>1.9545207999856089</v>
      </c>
      <c r="I13" s="2">
        <v>1.946070468837501</v>
      </c>
      <c r="J13" s="2">
        <v>1.659764095453035</v>
      </c>
      <c r="K13" s="2">
        <v>1.531374159631484</v>
      </c>
      <c r="L13" s="2">
        <v>1.4540748729302071</v>
      </c>
      <c r="M13" s="2">
        <v>1.4060728635408319</v>
      </c>
      <c r="N13" s="2">
        <v>3.4</v>
      </c>
      <c r="O13" s="2"/>
      <c r="P13" s="2"/>
      <c r="Q13" s="2">
        <f t="shared" si="0"/>
        <v>51.383477932392573</v>
      </c>
      <c r="R13" s="2">
        <f t="shared" si="1"/>
        <v>125.80025952380227</v>
      </c>
      <c r="S13" s="2">
        <f t="shared" si="2"/>
        <v>740.83628737569222</v>
      </c>
      <c r="T13" s="2"/>
      <c r="U13" s="2"/>
      <c r="V13" s="2"/>
      <c r="W13" s="2"/>
      <c r="X13" s="2"/>
      <c r="Y13" s="2"/>
      <c r="Z13" s="2"/>
    </row>
    <row r="14" spans="1:26" x14ac:dyDescent="0.2">
      <c r="A14" s="2">
        <v>2</v>
      </c>
      <c r="B14" s="2">
        <v>260603</v>
      </c>
      <c r="C14" s="2" t="s">
        <v>24</v>
      </c>
      <c r="D14" s="2" t="s">
        <v>20</v>
      </c>
      <c r="E14" s="2" t="s">
        <v>41</v>
      </c>
      <c r="F14" s="2">
        <v>1.634557435992865</v>
      </c>
      <c r="G14" s="2">
        <v>1.787400721521996</v>
      </c>
      <c r="H14" s="2">
        <v>2.036075833467641</v>
      </c>
      <c r="I14" s="2">
        <v>2.1517444726093702</v>
      </c>
      <c r="J14" s="2">
        <v>1.7935042721246659</v>
      </c>
      <c r="K14" s="2">
        <v>1.58956822250264</v>
      </c>
      <c r="L14" s="2">
        <v>1.379463773694908</v>
      </c>
      <c r="M14" s="2">
        <v>1.2863648255174689</v>
      </c>
      <c r="N14" s="2">
        <v>2.4</v>
      </c>
      <c r="O14" s="2"/>
      <c r="P14" s="2"/>
      <c r="Q14" s="2">
        <f t="shared" si="0"/>
        <v>56.576256132551791</v>
      </c>
      <c r="R14" s="2">
        <f t="shared" si="1"/>
        <v>133.99904967089026</v>
      </c>
      <c r="S14" s="2">
        <f t="shared" si="2"/>
        <v>867.99902736799652</v>
      </c>
      <c r="T14" s="2"/>
      <c r="U14" s="2"/>
      <c r="V14" s="2"/>
      <c r="W14" s="2"/>
      <c r="X14" s="2"/>
      <c r="Y14" s="2"/>
      <c r="Z14" s="2"/>
    </row>
    <row r="15" spans="1:26" x14ac:dyDescent="0.2">
      <c r="A15" s="2">
        <v>2</v>
      </c>
      <c r="B15" s="2">
        <v>260603</v>
      </c>
      <c r="C15" s="2" t="s">
        <v>26</v>
      </c>
      <c r="D15" s="2" t="s">
        <v>20</v>
      </c>
      <c r="E15" s="2" t="s">
        <v>42</v>
      </c>
      <c r="F15" s="2">
        <v>0.78223609240732905</v>
      </c>
      <c r="G15" s="2">
        <v>0.90798979270967217</v>
      </c>
      <c r="H15" s="2">
        <v>1.303659316598955</v>
      </c>
      <c r="I15" s="2">
        <v>1.422063878319034</v>
      </c>
      <c r="J15" s="2">
        <v>0.93110367186465171</v>
      </c>
      <c r="K15" s="2">
        <v>0.68743873908468933</v>
      </c>
      <c r="L15" s="2">
        <v>0.46311513533858739</v>
      </c>
      <c r="M15" s="2">
        <v>0.33296971162060968</v>
      </c>
      <c r="N15" s="2">
        <v>3.600000000000001</v>
      </c>
      <c r="O15" s="2"/>
      <c r="P15" s="2"/>
      <c r="Q15" s="2">
        <f t="shared" si="0"/>
        <v>17.084016310772007</v>
      </c>
      <c r="R15" s="2">
        <f t="shared" si="1"/>
        <v>67.213087100142388</v>
      </c>
      <c r="S15" s="2">
        <f t="shared" si="2"/>
        <v>223.255468744046</v>
      </c>
      <c r="T15" s="2"/>
      <c r="U15" s="2"/>
      <c r="V15" s="2"/>
      <c r="W15" s="2"/>
      <c r="X15" s="2"/>
      <c r="Y15" s="2"/>
      <c r="Z15" s="2"/>
    </row>
    <row r="16" spans="1:26" x14ac:dyDescent="0.2">
      <c r="A16" s="2">
        <v>2</v>
      </c>
      <c r="B16" s="2">
        <v>260603</v>
      </c>
      <c r="C16" s="2" t="s">
        <v>43</v>
      </c>
      <c r="D16" s="2" t="s">
        <v>20</v>
      </c>
      <c r="E16" s="2" t="s">
        <v>44</v>
      </c>
      <c r="F16" s="2">
        <v>1.9637154683761919</v>
      </c>
      <c r="G16" s="2">
        <v>2.0601081611442069</v>
      </c>
      <c r="H16" s="2">
        <v>2.2735018845904982</v>
      </c>
      <c r="I16" s="2">
        <v>2.4780420481961301</v>
      </c>
      <c r="J16" s="2">
        <v>2.1903124188170331</v>
      </c>
      <c r="K16" s="2">
        <v>1.9883626530579841</v>
      </c>
      <c r="L16" s="2">
        <v>1.8166945044849989</v>
      </c>
      <c r="M16" s="2">
        <v>1.710627590592684</v>
      </c>
      <c r="N16" s="2">
        <v>2.8</v>
      </c>
      <c r="O16" s="2"/>
      <c r="P16" s="2"/>
      <c r="Q16" s="2">
        <f t="shared" si="0"/>
        <v>76.162415460282006</v>
      </c>
      <c r="R16" s="2">
        <f t="shared" si="1"/>
        <v>158.86914670690462</v>
      </c>
      <c r="S16" s="2">
        <f t="shared" si="2"/>
        <v>1303.5656030432649</v>
      </c>
      <c r="T16" s="2"/>
      <c r="U16" s="2"/>
      <c r="V16" s="2"/>
      <c r="W16" s="2"/>
      <c r="X16" s="2"/>
      <c r="Y16" s="2"/>
      <c r="Z16" s="2"/>
    </row>
    <row r="17" spans="1:26" x14ac:dyDescent="0.2">
      <c r="A17" s="2">
        <v>3</v>
      </c>
      <c r="B17" s="2">
        <v>260610</v>
      </c>
      <c r="C17" s="2" t="s">
        <v>45</v>
      </c>
      <c r="D17" s="2" t="s">
        <v>20</v>
      </c>
      <c r="E17" s="2" t="s">
        <v>46</v>
      </c>
      <c r="F17" s="2">
        <v>1.0983734086161341</v>
      </c>
      <c r="G17" s="2">
        <v>1.2932801298844541</v>
      </c>
      <c r="H17" s="2">
        <v>1.1506710548472301</v>
      </c>
      <c r="I17" s="2">
        <v>0.97627512439843223</v>
      </c>
      <c r="J17" s="2">
        <v>0.78176939771929099</v>
      </c>
      <c r="K17" s="2">
        <v>0.77199282379443979</v>
      </c>
      <c r="L17" s="2">
        <v>0.85642990992001633</v>
      </c>
      <c r="M17" s="2">
        <v>0.95359832130796129</v>
      </c>
      <c r="N17" s="2">
        <v>7</v>
      </c>
      <c r="O17" s="2"/>
      <c r="P17" s="2"/>
      <c r="Q17" s="2">
        <f t="shared" si="0"/>
        <v>29.679185604755851</v>
      </c>
      <c r="R17" s="2">
        <f t="shared" si="1"/>
        <v>55.370464955388094</v>
      </c>
      <c r="S17" s="2">
        <f t="shared" si="2"/>
        <v>154.03047979590622</v>
      </c>
      <c r="T17" s="2"/>
      <c r="U17" s="2"/>
      <c r="V17" s="2"/>
      <c r="W17" s="2"/>
      <c r="X17" s="2"/>
      <c r="Y17" s="2"/>
      <c r="Z17" s="2"/>
    </row>
    <row r="18" spans="1:26" x14ac:dyDescent="0.2">
      <c r="A18" s="2">
        <v>3</v>
      </c>
      <c r="B18" s="2">
        <v>260610</v>
      </c>
      <c r="C18" s="2" t="s">
        <v>47</v>
      </c>
      <c r="D18" s="2" t="s">
        <v>20</v>
      </c>
      <c r="E18" s="2" t="s">
        <v>48</v>
      </c>
      <c r="F18" s="2">
        <v>1.188089806446873</v>
      </c>
      <c r="G18" s="2">
        <v>1.391946550762684</v>
      </c>
      <c r="H18" s="2">
        <v>1.320916983113031</v>
      </c>
      <c r="I18" s="2">
        <v>1.1355480219856871</v>
      </c>
      <c r="J18" s="2">
        <v>0.94224908637228444</v>
      </c>
      <c r="K18" s="2">
        <v>0.91278937041274355</v>
      </c>
      <c r="L18" s="2">
        <v>0.9789638910686228</v>
      </c>
      <c r="M18" s="2">
        <v>1.0915392845327021</v>
      </c>
      <c r="N18" s="2">
        <v>8.6000000000000014</v>
      </c>
      <c r="O18" s="2"/>
      <c r="P18" s="2"/>
      <c r="Q18" s="2">
        <f t="shared" si="0"/>
        <v>33.71663942023892</v>
      </c>
      <c r="R18" s="2">
        <f t="shared" si="1"/>
        <v>68.598351359604493</v>
      </c>
      <c r="S18" s="2">
        <f t="shared" si="2"/>
        <v>228.92803248663805</v>
      </c>
      <c r="T18" s="2"/>
      <c r="U18" s="2"/>
      <c r="V18" s="2"/>
      <c r="W18" s="2"/>
      <c r="X18" s="2"/>
      <c r="Y18" s="2"/>
      <c r="Z18" s="2"/>
    </row>
    <row r="19" spans="1:26" x14ac:dyDescent="0.2">
      <c r="A19" s="2">
        <v>3</v>
      </c>
      <c r="B19" s="2">
        <v>260610</v>
      </c>
      <c r="C19" s="2" t="s">
        <v>49</v>
      </c>
      <c r="D19" s="2" t="s">
        <v>20</v>
      </c>
      <c r="E19" s="2" t="s">
        <v>50</v>
      </c>
      <c r="F19" s="2">
        <v>1.480038395669099</v>
      </c>
      <c r="G19" s="2">
        <v>1.6372165729958621</v>
      </c>
      <c r="H19" s="2">
        <v>1.7666150796291209</v>
      </c>
      <c r="I19" s="2">
        <v>1.674809333221583</v>
      </c>
      <c r="J19" s="2">
        <v>1.39078159111622</v>
      </c>
      <c r="K19" s="2">
        <v>1.287531621830823</v>
      </c>
      <c r="L19" s="2">
        <v>1.2972053750958421</v>
      </c>
      <c r="M19" s="2">
        <v>1.398155992031928</v>
      </c>
      <c r="N19" s="2">
        <v>15.7</v>
      </c>
      <c r="O19" s="2"/>
      <c r="P19" s="2"/>
      <c r="Q19" s="2">
        <f t="shared" si="0"/>
        <v>48.162198987703306</v>
      </c>
      <c r="R19" s="2">
        <f t="shared" si="1"/>
        <v>107.6066829057313</v>
      </c>
      <c r="S19" s="2">
        <f t="shared" si="2"/>
        <v>515.19805243759254</v>
      </c>
      <c r="T19" s="2"/>
      <c r="U19" s="2"/>
      <c r="V19" s="2"/>
      <c r="W19" s="2"/>
      <c r="X19" s="2"/>
      <c r="Y19" s="2"/>
      <c r="Z19" s="2"/>
    </row>
    <row r="20" spans="1:26" x14ac:dyDescent="0.2">
      <c r="A20" s="2">
        <v>3</v>
      </c>
      <c r="B20" s="2">
        <v>260610</v>
      </c>
      <c r="C20" s="2" t="s">
        <v>51</v>
      </c>
      <c r="D20" s="2" t="s">
        <v>20</v>
      </c>
      <c r="E20" s="2" t="s">
        <v>52</v>
      </c>
      <c r="F20" s="2">
        <v>2.0732827431403091</v>
      </c>
      <c r="G20" s="2">
        <v>2.531169196457252</v>
      </c>
      <c r="H20" s="2">
        <v>2.7746157808389511</v>
      </c>
      <c r="I20" s="2">
        <v>2.4774743853051309</v>
      </c>
      <c r="J20" s="2">
        <v>2.0394856262838661</v>
      </c>
      <c r="K20" s="2">
        <v>1.879963160887099</v>
      </c>
      <c r="L20" s="2">
        <v>1.8688690721596299</v>
      </c>
      <c r="M20" s="2">
        <v>2.018221793851513</v>
      </c>
      <c r="N20" s="2">
        <v>15.6</v>
      </c>
      <c r="O20" s="2"/>
      <c r="P20" s="2"/>
      <c r="Q20" s="2">
        <f t="shared" si="0"/>
        <v>83.162810924954215</v>
      </c>
      <c r="R20" s="2">
        <f t="shared" si="1"/>
        <v>215.98319918847324</v>
      </c>
      <c r="S20" s="2">
        <f t="shared" si="2"/>
        <v>1127.7565929127811</v>
      </c>
      <c r="T20" s="2"/>
      <c r="U20" s="2"/>
      <c r="V20" s="2"/>
      <c r="W20" s="2"/>
      <c r="X20" s="2"/>
      <c r="Y20" s="2"/>
      <c r="Z20" s="2"/>
    </row>
    <row r="21" spans="1:26" x14ac:dyDescent="0.2">
      <c r="A21" s="2">
        <v>3</v>
      </c>
      <c r="B21" s="2">
        <v>260610</v>
      </c>
      <c r="C21" s="2" t="s">
        <v>53</v>
      </c>
      <c r="D21" s="2" t="s">
        <v>20</v>
      </c>
      <c r="E21" s="2" t="s">
        <v>54</v>
      </c>
      <c r="F21" s="2">
        <v>1.6697151311799669</v>
      </c>
      <c r="G21" s="2">
        <v>1.817324276303488</v>
      </c>
      <c r="H21" s="2">
        <v>2.1067521817716779</v>
      </c>
      <c r="I21" s="2">
        <v>2.1004232862483452</v>
      </c>
      <c r="J21" s="2">
        <v>1.7873854730874921</v>
      </c>
      <c r="K21" s="2">
        <v>1.6351141173460799</v>
      </c>
      <c r="L21" s="2">
        <v>1.5596508642333251</v>
      </c>
      <c r="M21" s="2">
        <v>1.581109243208441</v>
      </c>
      <c r="N21" s="2">
        <v>9.1000000000000014</v>
      </c>
      <c r="O21" s="2"/>
      <c r="P21" s="2"/>
      <c r="Q21" s="2">
        <f t="shared" si="0"/>
        <v>58.561917953100512</v>
      </c>
      <c r="R21" s="2">
        <f t="shared" si="1"/>
        <v>141.24825449955154</v>
      </c>
      <c r="S21" s="2">
        <f t="shared" si="2"/>
        <v>861.96455705732069</v>
      </c>
      <c r="T21" s="2"/>
      <c r="U21" s="2"/>
      <c r="V21" s="2"/>
      <c r="W21" s="2"/>
      <c r="X21" s="2"/>
      <c r="Y21" s="2"/>
      <c r="Z21" s="2"/>
    </row>
    <row r="22" spans="1:26" x14ac:dyDescent="0.2">
      <c r="A22" s="2">
        <v>3</v>
      </c>
      <c r="B22" s="2">
        <v>260610</v>
      </c>
      <c r="C22" s="2" t="s">
        <v>32</v>
      </c>
      <c r="D22" s="2" t="s">
        <v>20</v>
      </c>
      <c r="E22" s="2" t="s">
        <v>55</v>
      </c>
      <c r="F22" s="2">
        <v>2.2102615384201969</v>
      </c>
      <c r="G22" s="2">
        <v>2.3771057747750048</v>
      </c>
      <c r="H22" s="2">
        <v>2.5856393309154759</v>
      </c>
      <c r="I22" s="2">
        <v>2.6614142413806161</v>
      </c>
      <c r="J22" s="2">
        <v>2.3104087467876759</v>
      </c>
      <c r="K22" s="2">
        <v>2.0817273633748612</v>
      </c>
      <c r="L22" s="2">
        <v>1.913747012849188</v>
      </c>
      <c r="M22" s="2">
        <v>1.865595112864048</v>
      </c>
      <c r="N22" s="2">
        <v>15</v>
      </c>
      <c r="O22" s="2"/>
      <c r="P22" s="2"/>
      <c r="Q22" s="2">
        <f t="shared" si="0"/>
        <v>92.239684170940023</v>
      </c>
      <c r="R22" s="2">
        <f t="shared" si="1"/>
        <v>193.73407391723916</v>
      </c>
      <c r="S22" s="2">
        <f t="shared" si="2"/>
        <v>1452.5222206037085</v>
      </c>
      <c r="T22" s="2"/>
      <c r="U22" s="2"/>
      <c r="V22" s="2"/>
      <c r="W22" s="2"/>
      <c r="X22" s="2"/>
      <c r="Y22" s="2"/>
      <c r="Z22" s="2"/>
    </row>
    <row r="23" spans="1:26" x14ac:dyDescent="0.2">
      <c r="A23" s="2">
        <v>3</v>
      </c>
      <c r="B23" s="2">
        <v>260610</v>
      </c>
      <c r="C23" s="2" t="s">
        <v>34</v>
      </c>
      <c r="D23" s="2" t="s">
        <v>20</v>
      </c>
      <c r="E23" s="2" t="s">
        <v>56</v>
      </c>
      <c r="F23" s="2">
        <v>1.6502692184425409</v>
      </c>
      <c r="G23" s="2">
        <v>1.8217423209457011</v>
      </c>
      <c r="H23" s="2">
        <v>2.0180397127303671</v>
      </c>
      <c r="I23" s="2">
        <v>2.038491829883831</v>
      </c>
      <c r="J23" s="2">
        <v>1.710942092742507</v>
      </c>
      <c r="K23" s="2">
        <v>1.5326417846100919</v>
      </c>
      <c r="L23" s="2">
        <v>1.4448563611844949</v>
      </c>
      <c r="M23" s="2">
        <v>1.446565389608911</v>
      </c>
      <c r="N23" s="2">
        <v>13.3</v>
      </c>
      <c r="O23" s="2"/>
      <c r="P23" s="2"/>
      <c r="Q23" s="2">
        <f t="shared" si="0"/>
        <v>57.460419506000974</v>
      </c>
      <c r="R23" s="2">
        <f t="shared" si="1"/>
        <v>132.17041970427755</v>
      </c>
      <c r="S23" s="2">
        <f t="shared" si="2"/>
        <v>788.32481742848108</v>
      </c>
      <c r="T23" s="2"/>
      <c r="U23" s="2"/>
      <c r="V23" s="2"/>
      <c r="W23" s="2"/>
      <c r="X23" s="2"/>
      <c r="Y23" s="2"/>
      <c r="Z23" s="2"/>
    </row>
    <row r="24" spans="1:26" x14ac:dyDescent="0.2">
      <c r="A24" s="2">
        <v>4</v>
      </c>
      <c r="B24" s="2">
        <v>260618</v>
      </c>
      <c r="C24" s="2" t="s">
        <v>57</v>
      </c>
      <c r="D24" s="2" t="s">
        <v>20</v>
      </c>
      <c r="E24" s="2" t="s">
        <v>58</v>
      </c>
      <c r="F24" s="2">
        <v>2.1076128595027348</v>
      </c>
      <c r="G24" s="2">
        <v>2.3946869519648559</v>
      </c>
      <c r="H24" s="2">
        <v>2.5769087910283792</v>
      </c>
      <c r="I24" s="2">
        <v>2.4189560636663421</v>
      </c>
      <c r="J24" s="2">
        <v>2.0107297598936928</v>
      </c>
      <c r="K24" s="2">
        <v>1.777908156120559</v>
      </c>
      <c r="L24" s="2">
        <v>1.713505164657618</v>
      </c>
      <c r="M24" s="2">
        <v>1.7542182392419461</v>
      </c>
      <c r="N24" s="2"/>
      <c r="O24" s="2"/>
      <c r="P24" s="2"/>
      <c r="Q24" s="2">
        <f t="shared" si="0"/>
        <v>85.404066613011452</v>
      </c>
      <c r="R24" s="2">
        <f t="shared" si="1"/>
        <v>192.72659262321932</v>
      </c>
      <c r="S24" s="2">
        <f t="shared" si="2"/>
        <v>1095.6630020471098</v>
      </c>
      <c r="T24" s="2"/>
      <c r="U24" s="2"/>
      <c r="V24" s="2"/>
      <c r="W24" s="2"/>
      <c r="X24" s="2"/>
      <c r="Y24" s="2"/>
      <c r="Z24" s="2"/>
    </row>
    <row r="25" spans="1:26" x14ac:dyDescent="0.2">
      <c r="A25" s="2">
        <v>4</v>
      </c>
      <c r="B25" s="2">
        <v>260618</v>
      </c>
      <c r="C25" s="2" t="s">
        <v>59</v>
      </c>
      <c r="D25" s="2" t="s">
        <v>60</v>
      </c>
      <c r="E25" s="2" t="s">
        <v>61</v>
      </c>
      <c r="F25" s="2">
        <v>1.3493588042472779</v>
      </c>
      <c r="G25" s="2">
        <v>1.5124829979987391</v>
      </c>
      <c r="H25" s="2">
        <v>1.8286188659812961</v>
      </c>
      <c r="I25" s="2">
        <v>1.8738623903836951</v>
      </c>
      <c r="J25" s="2">
        <v>1.3915356848934139</v>
      </c>
      <c r="K25" s="2">
        <v>1.1785246704416379</v>
      </c>
      <c r="L25" s="2">
        <v>1.0705671657121949</v>
      </c>
      <c r="M25" s="2">
        <v>1.0970594021527449</v>
      </c>
      <c r="N25" s="2"/>
      <c r="O25" s="2"/>
      <c r="P25" s="2"/>
      <c r="Q25" s="2">
        <f t="shared" si="0"/>
        <v>41.455238030924654</v>
      </c>
      <c r="R25" s="2">
        <f t="shared" si="1"/>
        <v>113.50078796140897</v>
      </c>
      <c r="S25" s="2">
        <f t="shared" si="2"/>
        <v>515.77425807577583</v>
      </c>
      <c r="T25" s="2"/>
      <c r="U25" s="2"/>
      <c r="V25" s="2"/>
      <c r="W25" s="2"/>
      <c r="X25" s="2"/>
      <c r="Y25" s="2"/>
      <c r="Z25" s="2"/>
    </row>
    <row r="26" spans="1:26" x14ac:dyDescent="0.2">
      <c r="A26" s="2">
        <v>4</v>
      </c>
      <c r="B26" s="2">
        <v>260618</v>
      </c>
      <c r="C26" s="2" t="s">
        <v>62</v>
      </c>
      <c r="D26" s="2" t="s">
        <v>20</v>
      </c>
      <c r="E26" s="2" t="s">
        <v>63</v>
      </c>
      <c r="F26" s="2">
        <v>0.99890821511355732</v>
      </c>
      <c r="G26" s="2">
        <v>1.1261935315218841</v>
      </c>
      <c r="H26" s="2">
        <v>1.332689484408762</v>
      </c>
      <c r="I26" s="2">
        <v>1.36502457017771</v>
      </c>
      <c r="J26" s="2">
        <v>1.0346545802272731</v>
      </c>
      <c r="K26" s="2">
        <v>0.86841489528671723</v>
      </c>
      <c r="L26" s="2">
        <v>0.77256093883687571</v>
      </c>
      <c r="M26" s="2">
        <v>0.78202671632580323</v>
      </c>
      <c r="N26" s="2"/>
      <c r="O26" s="2"/>
      <c r="P26" s="2"/>
      <c r="Q26" s="2">
        <f t="shared" si="0"/>
        <v>25.435644448763473</v>
      </c>
      <c r="R26" s="2">
        <f t="shared" si="1"/>
        <v>69.548938318735296</v>
      </c>
      <c r="S26" s="2">
        <f t="shared" si="2"/>
        <v>278.65848389839005</v>
      </c>
      <c r="T26" s="2"/>
      <c r="U26" s="2"/>
      <c r="V26" s="2"/>
      <c r="W26" s="2"/>
      <c r="X26" s="2"/>
      <c r="Y26" s="2"/>
      <c r="Z26" s="2"/>
    </row>
    <row r="27" spans="1:26" x14ac:dyDescent="0.2">
      <c r="A27" s="2">
        <v>4</v>
      </c>
      <c r="B27" s="2">
        <v>260618</v>
      </c>
      <c r="C27" s="2" t="s">
        <v>64</v>
      </c>
      <c r="D27" s="2" t="s">
        <v>60</v>
      </c>
      <c r="E27" s="2" t="s">
        <v>65</v>
      </c>
      <c r="F27" s="2">
        <v>1.6893403434981731</v>
      </c>
      <c r="G27" s="2">
        <v>1.805027727907176</v>
      </c>
      <c r="H27" s="2">
        <v>2.0441479097561541</v>
      </c>
      <c r="I27" s="2">
        <v>1.867046629067721</v>
      </c>
      <c r="J27" s="2">
        <v>1.3082549669917209</v>
      </c>
      <c r="K27" s="2">
        <v>1.2754734974799331</v>
      </c>
      <c r="L27" s="2">
        <v>1.131218856203378</v>
      </c>
      <c r="M27" s="2">
        <v>1.152706558719119</v>
      </c>
      <c r="N27" s="2"/>
      <c r="O27" s="2"/>
      <c r="P27" s="2"/>
      <c r="Q27" s="2">
        <f t="shared" si="0"/>
        <v>59.681614554603641</v>
      </c>
      <c r="R27" s="2">
        <f t="shared" si="1"/>
        <v>134.8202754011817</v>
      </c>
      <c r="S27" s="2">
        <f t="shared" si="2"/>
        <v>454.05915252567092</v>
      </c>
      <c r="T27" s="2"/>
      <c r="U27" s="2"/>
      <c r="V27" s="2"/>
      <c r="W27" s="2"/>
      <c r="X27" s="2"/>
      <c r="Y27" s="2"/>
      <c r="Z27" s="2"/>
    </row>
    <row r="28" spans="1:26" x14ac:dyDescent="0.2">
      <c r="A28" s="2">
        <v>4</v>
      </c>
      <c r="B28" s="2">
        <v>260618</v>
      </c>
      <c r="C28" s="2" t="s">
        <v>66</v>
      </c>
      <c r="D28" s="2" t="s">
        <v>20</v>
      </c>
      <c r="E28" s="2" t="s">
        <v>67</v>
      </c>
      <c r="F28" s="2">
        <v>2.5585927951730558</v>
      </c>
      <c r="G28" s="2">
        <v>2.855200668029986</v>
      </c>
      <c r="H28" s="2">
        <v>3.1021690565765581</v>
      </c>
      <c r="I28" s="2">
        <v>3.046614984266609</v>
      </c>
      <c r="J28" s="2">
        <v>2.5707538043554909</v>
      </c>
      <c r="K28" s="2">
        <v>2.279125936994979</v>
      </c>
      <c r="L28" s="2">
        <v>2.0260698511297468</v>
      </c>
      <c r="M28" s="2">
        <v>1.8764053289639879</v>
      </c>
      <c r="N28" s="2"/>
      <c r="O28" s="2"/>
      <c r="P28" s="2"/>
      <c r="Q28" s="2">
        <f t="shared" si="0"/>
        <v>116.89334907153398</v>
      </c>
      <c r="R28" s="2">
        <f t="shared" si="1"/>
        <v>256.48930652064735</v>
      </c>
      <c r="S28" s="2">
        <f t="shared" si="2"/>
        <v>1802.6704351091851</v>
      </c>
      <c r="T28" s="2"/>
      <c r="U28" s="2"/>
      <c r="V28" s="2"/>
      <c r="W28" s="2"/>
      <c r="X28" s="2"/>
      <c r="Y28" s="2"/>
      <c r="Z28" s="2"/>
    </row>
    <row r="29" spans="1:26" x14ac:dyDescent="0.2">
      <c r="A29" s="2">
        <v>4</v>
      </c>
      <c r="B29" s="2">
        <v>260618</v>
      </c>
      <c r="C29" s="2" t="s">
        <v>68</v>
      </c>
      <c r="D29" s="2" t="s">
        <v>60</v>
      </c>
      <c r="E29" s="2" t="s">
        <v>69</v>
      </c>
      <c r="F29" s="2">
        <v>3.250826709762519</v>
      </c>
      <c r="G29" s="2">
        <v>3.360550816172482</v>
      </c>
      <c r="H29" s="2">
        <v>3.8224843111762268</v>
      </c>
      <c r="I29" s="2">
        <v>3.9429541708774249</v>
      </c>
      <c r="J29" s="2">
        <v>3.5533145665803589</v>
      </c>
      <c r="K29" s="2">
        <v>3.2848404300159069</v>
      </c>
      <c r="L29" s="2">
        <v>3.0600935522658781</v>
      </c>
      <c r="M29" s="2">
        <v>2.9577304276871539</v>
      </c>
      <c r="N29" s="2"/>
      <c r="O29" s="2"/>
      <c r="P29" s="2"/>
      <c r="Q29" s="2">
        <f t="shared" si="0"/>
        <v>172.19105745107737</v>
      </c>
      <c r="R29" s="2">
        <f t="shared" si="1"/>
        <v>353.69726028697352</v>
      </c>
      <c r="S29" s="2">
        <f t="shared" si="2"/>
        <v>3458.3874393380447</v>
      </c>
      <c r="T29" s="2"/>
      <c r="U29" s="2"/>
      <c r="V29" s="2"/>
      <c r="W29" s="2"/>
      <c r="X29" s="2"/>
      <c r="Y29" s="2"/>
      <c r="Z29" s="2"/>
    </row>
    <row r="30" spans="1:26" x14ac:dyDescent="0.2">
      <c r="A30" s="2">
        <v>4</v>
      </c>
      <c r="B30" s="2">
        <v>260618</v>
      </c>
      <c r="C30" s="2" t="s">
        <v>70</v>
      </c>
      <c r="D30" s="2" t="s">
        <v>20</v>
      </c>
      <c r="E30" s="2" t="s">
        <v>71</v>
      </c>
      <c r="F30" s="2">
        <v>2.5540408217955748</v>
      </c>
      <c r="G30" s="2">
        <v>2.576467576296678</v>
      </c>
      <c r="H30" s="2">
        <v>2.7771702908051199</v>
      </c>
      <c r="I30" s="2">
        <v>3.0983078868269862</v>
      </c>
      <c r="J30" s="2">
        <v>2.9700617177893598</v>
      </c>
      <c r="K30" s="2">
        <v>2.7431343669081469</v>
      </c>
      <c r="L30" s="2">
        <v>2.5040929537914942</v>
      </c>
      <c r="M30" s="2">
        <v>2.3532591996200458</v>
      </c>
      <c r="N30" s="2"/>
      <c r="O30" s="2"/>
      <c r="P30" s="2"/>
      <c r="Q30" s="2">
        <f t="shared" si="0"/>
        <v>116.557010175301</v>
      </c>
      <c r="R30" s="2">
        <f t="shared" si="1"/>
        <v>216.28967136354669</v>
      </c>
      <c r="S30" s="2">
        <f t="shared" si="2"/>
        <v>2411.9445918929782</v>
      </c>
      <c r="T30" s="2"/>
      <c r="U30" s="2"/>
      <c r="V30" s="2"/>
      <c r="W30" s="2"/>
      <c r="X30" s="2"/>
      <c r="Y30" s="2"/>
      <c r="Z30" s="2"/>
    </row>
    <row r="31" spans="1:26" x14ac:dyDescent="0.2">
      <c r="A31" s="2">
        <v>4</v>
      </c>
      <c r="B31" s="2">
        <v>260618</v>
      </c>
      <c r="C31" s="2" t="s">
        <v>72</v>
      </c>
      <c r="D31" s="2" t="s">
        <v>60</v>
      </c>
      <c r="E31" s="2" t="s">
        <v>73</v>
      </c>
      <c r="F31" s="2">
        <v>1.8397800083352289</v>
      </c>
      <c r="G31" s="2">
        <v>1.874150520286904</v>
      </c>
      <c r="H31" s="2">
        <v>2.1756449491973351</v>
      </c>
      <c r="I31" s="2">
        <v>2.501697606547638</v>
      </c>
      <c r="J31" s="2">
        <v>2.186026914872973</v>
      </c>
      <c r="K31" s="2">
        <v>1.966771228848853</v>
      </c>
      <c r="L31" s="2">
        <v>1.7015884433763759</v>
      </c>
      <c r="M31" s="2">
        <v>1.5422821592781319</v>
      </c>
      <c r="N31" s="2"/>
      <c r="O31" s="2"/>
      <c r="P31" s="2"/>
      <c r="Q31" s="2">
        <f t="shared" si="0"/>
        <v>68.529311631063209</v>
      </c>
      <c r="R31" s="2">
        <f t="shared" si="1"/>
        <v>148.44111141930949</v>
      </c>
      <c r="S31" s="2">
        <f t="shared" si="2"/>
        <v>1298.39707942942</v>
      </c>
      <c r="T31" s="2"/>
      <c r="U31" s="2"/>
      <c r="V31" s="2"/>
      <c r="W31" s="2"/>
      <c r="X31" s="2"/>
      <c r="Y31" s="2"/>
      <c r="Z31" s="2"/>
    </row>
    <row r="32" spans="1:26" x14ac:dyDescent="0.2">
      <c r="A32" s="2">
        <v>4</v>
      </c>
      <c r="B32" s="2">
        <v>260618</v>
      </c>
      <c r="C32" s="2" t="s">
        <v>28</v>
      </c>
      <c r="D32" s="2" t="s">
        <v>20</v>
      </c>
      <c r="E32" s="2" t="s">
        <v>74</v>
      </c>
      <c r="F32" s="2">
        <v>3.0054737885180982</v>
      </c>
      <c r="G32" s="2">
        <v>3.3377689225266178</v>
      </c>
      <c r="H32" s="2">
        <v>3.751563743622798</v>
      </c>
      <c r="I32" s="2">
        <v>3.8178435425799968</v>
      </c>
      <c r="J32" s="2">
        <v>3.2975541844596852</v>
      </c>
      <c r="K32" s="2">
        <v>2.9286662980801679</v>
      </c>
      <c r="L32" s="2">
        <v>2.6316359905905111</v>
      </c>
      <c r="M32" s="2">
        <v>2.4062016430644819</v>
      </c>
      <c r="N32" s="2"/>
      <c r="O32" s="2"/>
      <c r="P32" s="2"/>
      <c r="Q32" s="2">
        <f t="shared" si="0"/>
        <v>151.66756108286719</v>
      </c>
      <c r="R32" s="2">
        <f t="shared" si="1"/>
        <v>343.65251848172062</v>
      </c>
      <c r="S32" s="2">
        <f t="shared" si="2"/>
        <v>2976.6919380826566</v>
      </c>
      <c r="T32" s="2"/>
      <c r="U32" s="2"/>
      <c r="V32" s="2"/>
      <c r="W32" s="2"/>
      <c r="X32" s="2"/>
      <c r="Y32" s="2"/>
      <c r="Z32" s="2"/>
    </row>
    <row r="33" spans="1:26" x14ac:dyDescent="0.2">
      <c r="A33" s="2">
        <v>4</v>
      </c>
      <c r="B33" s="2">
        <v>260618</v>
      </c>
      <c r="C33" s="2" t="s">
        <v>30</v>
      </c>
      <c r="D33" s="2" t="s">
        <v>60</v>
      </c>
      <c r="E33" s="2" t="s">
        <v>75</v>
      </c>
      <c r="F33" s="2">
        <v>2.953743489307818</v>
      </c>
      <c r="G33" s="2">
        <v>3.0904010741135721</v>
      </c>
      <c r="H33" s="2">
        <v>3.534781224425517</v>
      </c>
      <c r="I33" s="2">
        <v>3.7541383024867918</v>
      </c>
      <c r="J33" s="2">
        <v>3.3219018068243269</v>
      </c>
      <c r="K33" s="2">
        <v>3.032485106002742</v>
      </c>
      <c r="L33" s="2">
        <v>2.7756306469081191</v>
      </c>
      <c r="M33" s="2">
        <v>2.5995482221459669</v>
      </c>
      <c r="N33" s="2"/>
      <c r="O33" s="2"/>
      <c r="P33" s="2"/>
      <c r="Q33" s="2">
        <f t="shared" si="0"/>
        <v>147.46763679733209</v>
      </c>
      <c r="R33" s="2">
        <f t="shared" si="1"/>
        <v>313.57824883815726</v>
      </c>
      <c r="S33" s="2">
        <f t="shared" si="2"/>
        <v>3021.0141814360391</v>
      </c>
      <c r="T33" s="2"/>
      <c r="U33" s="2"/>
      <c r="V33" s="2"/>
      <c r="W33" s="2"/>
      <c r="X33" s="2"/>
      <c r="Y33" s="2"/>
      <c r="Z33" s="2"/>
    </row>
    <row r="34" spans="1:26" x14ac:dyDescent="0.2">
      <c r="A34" s="2">
        <v>4</v>
      </c>
      <c r="B34" s="2">
        <v>260618</v>
      </c>
      <c r="C34" s="2" t="s">
        <v>76</v>
      </c>
      <c r="D34" s="2" t="s">
        <v>20</v>
      </c>
      <c r="E34" s="2" t="s">
        <v>77</v>
      </c>
      <c r="F34" s="2">
        <v>1.9432095627570389</v>
      </c>
      <c r="G34" s="2">
        <v>2.1467931705849841</v>
      </c>
      <c r="H34" s="2">
        <v>2.3853626282529539</v>
      </c>
      <c r="I34" s="2">
        <v>2.365792285589162</v>
      </c>
      <c r="J34" s="2">
        <v>1.9976782763647389</v>
      </c>
      <c r="K34" s="2">
        <v>1.8063192269553761</v>
      </c>
      <c r="L34" s="2">
        <v>1.6430687441820631</v>
      </c>
      <c r="M34" s="2">
        <v>1.560953137860988</v>
      </c>
      <c r="N34" s="2"/>
      <c r="O34" s="2"/>
      <c r="P34" s="2"/>
      <c r="Q34" s="2">
        <f t="shared" ref="Q34:Q65" si="3">((F34- 0.00793) / 0.1333)^(1/0.6199)</f>
        <v>74.87838107526332</v>
      </c>
      <c r="R34" s="2">
        <f t="shared" ref="R34:R65" si="4">((H34- 0.0166) / 0.0825)^(1/0.6529)</f>
        <v>171.08712523066436</v>
      </c>
      <c r="S34" s="2">
        <f t="shared" ref="S34:S65" si="5">((J34- 0.06053) / 0.0561)^(1/0.507)</f>
        <v>1081.247348934279</v>
      </c>
      <c r="T34" s="2"/>
      <c r="U34" s="2"/>
      <c r="V34" s="2"/>
      <c r="W34" s="2"/>
      <c r="X34" s="2"/>
      <c r="Y34" s="2"/>
      <c r="Z34" s="2"/>
    </row>
    <row r="35" spans="1:26" x14ac:dyDescent="0.2">
      <c r="A35" s="2">
        <v>4</v>
      </c>
      <c r="B35" s="2">
        <v>260618</v>
      </c>
      <c r="C35" s="2" t="s">
        <v>78</v>
      </c>
      <c r="D35" s="2" t="s">
        <v>60</v>
      </c>
      <c r="E35" s="2" t="s">
        <v>79</v>
      </c>
      <c r="F35" s="2">
        <v>2.0034435031014279</v>
      </c>
      <c r="G35" s="2">
        <v>2.0905665835386098</v>
      </c>
      <c r="H35" s="2">
        <v>2.408147211803692</v>
      </c>
      <c r="I35" s="2">
        <v>2.3902163121357969</v>
      </c>
      <c r="J35" s="2">
        <v>1.992858234460464</v>
      </c>
      <c r="K35" s="2">
        <v>1.8360041901857751</v>
      </c>
      <c r="L35" s="2">
        <v>1.658214577676423</v>
      </c>
      <c r="M35" s="2">
        <v>1.6216413307967199</v>
      </c>
      <c r="N35" s="2"/>
      <c r="O35" s="2"/>
      <c r="P35" s="2"/>
      <c r="Q35" s="2">
        <f t="shared" si="3"/>
        <v>78.673632111685734</v>
      </c>
      <c r="R35" s="2">
        <f t="shared" si="4"/>
        <v>173.61408044140873</v>
      </c>
      <c r="S35" s="2">
        <f t="shared" si="5"/>
        <v>1075.9473067490885</v>
      </c>
      <c r="T35" s="2"/>
      <c r="U35" s="2"/>
      <c r="V35" s="2"/>
      <c r="W35" s="2"/>
      <c r="X35" s="2"/>
      <c r="Y35" s="2"/>
      <c r="Z35" s="2"/>
    </row>
    <row r="36" spans="1:26" x14ac:dyDescent="0.2">
      <c r="A36" s="2">
        <v>5</v>
      </c>
      <c r="B36" s="2">
        <v>260625</v>
      </c>
      <c r="C36" s="2" t="s">
        <v>45</v>
      </c>
      <c r="D36" s="2" t="s">
        <v>60</v>
      </c>
      <c r="E36" s="2" t="s">
        <v>80</v>
      </c>
      <c r="F36" s="2">
        <v>0.99088728741662679</v>
      </c>
      <c r="G36" s="2">
        <v>1.143590576807485</v>
      </c>
      <c r="H36" s="2">
        <v>1.031181300740442</v>
      </c>
      <c r="I36" s="2">
        <v>0.82662228680757588</v>
      </c>
      <c r="J36" s="2">
        <v>0.65660016291691103</v>
      </c>
      <c r="K36" s="2">
        <v>0.65770483983735861</v>
      </c>
      <c r="L36" s="2">
        <v>0.73559236325197552</v>
      </c>
      <c r="M36" s="2">
        <v>0.8597691403614619</v>
      </c>
      <c r="N36" s="2"/>
      <c r="O36" s="2"/>
      <c r="P36" s="2"/>
      <c r="Q36" s="2">
        <f t="shared" si="3"/>
        <v>25.104359694387576</v>
      </c>
      <c r="R36" s="2">
        <f t="shared" si="4"/>
        <v>46.689446400922499</v>
      </c>
      <c r="S36" s="2">
        <f t="shared" si="5"/>
        <v>105.76170551128259</v>
      </c>
      <c r="T36" s="2"/>
      <c r="U36" s="2"/>
      <c r="V36" s="2"/>
      <c r="W36" s="2"/>
      <c r="X36" s="2"/>
      <c r="Y36" s="2"/>
      <c r="Z36" s="2"/>
    </row>
    <row r="37" spans="1:26" x14ac:dyDescent="0.2">
      <c r="A37" s="2">
        <v>5</v>
      </c>
      <c r="B37" s="2">
        <v>260625</v>
      </c>
      <c r="C37" s="2" t="s">
        <v>47</v>
      </c>
      <c r="D37" s="2" t="s">
        <v>60</v>
      </c>
      <c r="E37" s="2" t="s">
        <v>81</v>
      </c>
      <c r="F37" s="2">
        <v>1.3206919004442439</v>
      </c>
      <c r="G37" s="2">
        <v>1.26471078455347</v>
      </c>
      <c r="H37" s="2">
        <v>1.0462998838559621</v>
      </c>
      <c r="I37" s="2">
        <v>0.72773812890190703</v>
      </c>
      <c r="J37" s="2">
        <v>0.57970437171289591</v>
      </c>
      <c r="K37" s="2">
        <v>0.55736438503426189</v>
      </c>
      <c r="L37" s="2">
        <v>0.58162841737178128</v>
      </c>
      <c r="M37" s="2">
        <v>0.79408172769127872</v>
      </c>
      <c r="N37" s="2"/>
      <c r="O37" s="2"/>
      <c r="P37" s="2"/>
      <c r="Q37" s="2">
        <f t="shared" si="3"/>
        <v>40.035499980954896</v>
      </c>
      <c r="R37" s="2">
        <f t="shared" si="4"/>
        <v>47.759262579503989</v>
      </c>
      <c r="S37" s="2">
        <f t="shared" si="5"/>
        <v>80.540911065950596</v>
      </c>
      <c r="T37" s="2"/>
      <c r="U37" s="2"/>
      <c r="V37" s="2"/>
      <c r="W37" s="2"/>
      <c r="X37" s="2"/>
      <c r="Y37" s="2"/>
      <c r="Z37" s="2"/>
    </row>
    <row r="38" spans="1:26" x14ac:dyDescent="0.2">
      <c r="A38" s="2">
        <v>5</v>
      </c>
      <c r="B38" s="2">
        <v>260625</v>
      </c>
      <c r="C38" s="2" t="s">
        <v>49</v>
      </c>
      <c r="D38" s="2" t="s">
        <v>60</v>
      </c>
      <c r="E38" s="2" t="s">
        <v>82</v>
      </c>
      <c r="F38" s="2">
        <v>1.4806504973022749</v>
      </c>
      <c r="G38" s="2">
        <v>1.57650653538403</v>
      </c>
      <c r="H38" s="2">
        <v>1.754368133580156</v>
      </c>
      <c r="I38" s="2">
        <v>1.6398651920831271</v>
      </c>
      <c r="J38" s="2">
        <v>1.352490044393881</v>
      </c>
      <c r="K38" s="2">
        <v>1.28287738304247</v>
      </c>
      <c r="L38" s="2">
        <v>1.309245549073371</v>
      </c>
      <c r="M38" s="2">
        <v>1.433153001151241</v>
      </c>
      <c r="N38" s="2"/>
      <c r="O38" s="2"/>
      <c r="P38" s="2"/>
      <c r="Q38" s="2">
        <f t="shared" si="3"/>
        <v>48.194508007012942</v>
      </c>
      <c r="R38" s="2">
        <f t="shared" si="4"/>
        <v>106.45543443182268</v>
      </c>
      <c r="S38" s="2">
        <f t="shared" si="5"/>
        <v>486.35688912558544</v>
      </c>
      <c r="T38" s="2"/>
      <c r="U38" s="2"/>
      <c r="V38" s="2"/>
      <c r="W38" s="2"/>
      <c r="X38" s="2"/>
      <c r="Y38" s="2"/>
      <c r="Z38" s="2"/>
    </row>
    <row r="39" spans="1:26" x14ac:dyDescent="0.2">
      <c r="A39" s="2">
        <v>5</v>
      </c>
      <c r="B39" s="2">
        <v>260625</v>
      </c>
      <c r="C39" s="2" t="s">
        <v>51</v>
      </c>
      <c r="D39" s="2" t="s">
        <v>60</v>
      </c>
      <c r="E39" s="2" t="s">
        <v>83</v>
      </c>
      <c r="F39" s="2">
        <v>1.3366175250381871</v>
      </c>
      <c r="G39" s="2">
        <v>1.4820828563447741</v>
      </c>
      <c r="H39" s="2">
        <v>1.7278836683989329</v>
      </c>
      <c r="I39" s="2">
        <v>1.665482825245779</v>
      </c>
      <c r="J39" s="2">
        <v>1.285602169230978</v>
      </c>
      <c r="K39" s="2">
        <v>1.1491268362994691</v>
      </c>
      <c r="L39" s="2">
        <v>1.1320883474750101</v>
      </c>
      <c r="M39" s="2">
        <v>1.205579282640852</v>
      </c>
      <c r="N39" s="2"/>
      <c r="O39" s="2"/>
      <c r="P39" s="2"/>
      <c r="Q39" s="2">
        <f t="shared" si="3"/>
        <v>40.821900664011487</v>
      </c>
      <c r="R39" s="2">
        <f t="shared" si="4"/>
        <v>103.98055892399852</v>
      </c>
      <c r="S39" s="2">
        <f t="shared" si="5"/>
        <v>437.94318878848276</v>
      </c>
      <c r="T39" s="2"/>
      <c r="U39" s="2"/>
      <c r="V39" s="2"/>
      <c r="W39" s="2"/>
      <c r="X39" s="2"/>
      <c r="Y39" s="2"/>
      <c r="Z39" s="2"/>
    </row>
    <row r="40" spans="1:26" x14ac:dyDescent="0.2">
      <c r="A40" s="2">
        <v>5</v>
      </c>
      <c r="B40" s="2">
        <v>260625</v>
      </c>
      <c r="C40" s="2" t="s">
        <v>53</v>
      </c>
      <c r="D40" s="2" t="s">
        <v>60</v>
      </c>
      <c r="E40" s="2" t="s">
        <v>84</v>
      </c>
      <c r="F40" s="2">
        <v>1.920897677098699</v>
      </c>
      <c r="G40" s="2">
        <v>2.1368447138444262</v>
      </c>
      <c r="H40" s="2">
        <v>2.400450509580264</v>
      </c>
      <c r="I40" s="2">
        <v>2.229301901117851</v>
      </c>
      <c r="J40" s="2">
        <v>1.762606763741855</v>
      </c>
      <c r="K40" s="2">
        <v>1.596470412080071</v>
      </c>
      <c r="L40" s="2">
        <v>1.503623782914457</v>
      </c>
      <c r="M40" s="2">
        <v>1.529396371541955</v>
      </c>
      <c r="N40" s="2"/>
      <c r="O40" s="2"/>
      <c r="P40" s="2"/>
      <c r="Q40" s="2">
        <f t="shared" si="3"/>
        <v>73.490707544801538</v>
      </c>
      <c r="R40" s="2">
        <f t="shared" si="4"/>
        <v>172.75902922222863</v>
      </c>
      <c r="S40" s="2">
        <f t="shared" si="5"/>
        <v>837.73958399607261</v>
      </c>
      <c r="T40" s="2"/>
      <c r="U40" s="2"/>
      <c r="V40" s="2"/>
      <c r="W40" s="2"/>
      <c r="X40" s="2"/>
      <c r="Y40" s="2"/>
      <c r="Z40" s="2"/>
    </row>
    <row r="41" spans="1:26" x14ac:dyDescent="0.2">
      <c r="A41" s="2">
        <v>5</v>
      </c>
      <c r="B41" s="2">
        <v>260625</v>
      </c>
      <c r="C41" s="2" t="s">
        <v>85</v>
      </c>
      <c r="D41" s="2" t="s">
        <v>60</v>
      </c>
      <c r="E41" s="2" t="s">
        <v>86</v>
      </c>
      <c r="F41" s="2">
        <v>1.6600115464135701</v>
      </c>
      <c r="G41" s="2">
        <v>1.8436689906982009</v>
      </c>
      <c r="H41" s="2">
        <v>2.078553838150814</v>
      </c>
      <c r="I41" s="2">
        <v>1.90713229355827</v>
      </c>
      <c r="J41" s="2">
        <v>1.545774556812846</v>
      </c>
      <c r="K41" s="2">
        <v>1.420957803121816</v>
      </c>
      <c r="L41" s="2">
        <v>1.3908035487040029</v>
      </c>
      <c r="M41" s="2">
        <v>1.484248492486248</v>
      </c>
      <c r="N41" s="2"/>
      <c r="O41" s="2"/>
      <c r="P41" s="2"/>
      <c r="Q41" s="2">
        <f t="shared" si="3"/>
        <v>58.011272282871559</v>
      </c>
      <c r="R41" s="2">
        <f t="shared" si="4"/>
        <v>138.34009262927086</v>
      </c>
      <c r="S41" s="2">
        <f t="shared" si="5"/>
        <v>640.29614039627984</v>
      </c>
      <c r="T41" s="2"/>
      <c r="U41" s="2"/>
      <c r="V41" s="2"/>
      <c r="W41" s="2"/>
      <c r="X41" s="2"/>
      <c r="Y41" s="2"/>
      <c r="Z41" s="2"/>
    </row>
    <row r="42" spans="1:26" x14ac:dyDescent="0.2">
      <c r="A42" s="2">
        <v>5</v>
      </c>
      <c r="B42" s="2">
        <v>260625</v>
      </c>
      <c r="C42" s="2" t="s">
        <v>34</v>
      </c>
      <c r="D42" s="2" t="s">
        <v>60</v>
      </c>
      <c r="E42" s="2" t="s">
        <v>87</v>
      </c>
      <c r="F42" s="2">
        <v>1.846732048029504</v>
      </c>
      <c r="G42" s="2">
        <v>1.978338773966495</v>
      </c>
      <c r="H42" s="2">
        <v>2.2718510897518929</v>
      </c>
      <c r="I42" s="2">
        <v>2.242876841652004</v>
      </c>
      <c r="J42" s="2">
        <v>1.87405699853247</v>
      </c>
      <c r="K42" s="2">
        <v>1.7018826239863289</v>
      </c>
      <c r="L42" s="2">
        <v>1.585668901769306</v>
      </c>
      <c r="M42" s="2">
        <v>1.6136407515317761</v>
      </c>
      <c r="N42" s="2"/>
      <c r="O42" s="2"/>
      <c r="P42" s="2"/>
      <c r="Q42" s="2">
        <f t="shared" si="3"/>
        <v>68.949343100021565</v>
      </c>
      <c r="R42" s="2">
        <f t="shared" si="4"/>
        <v>158.69120044851016</v>
      </c>
      <c r="S42" s="2">
        <f t="shared" si="5"/>
        <v>949.37587976068551</v>
      </c>
      <c r="T42" s="2"/>
      <c r="U42" s="2"/>
      <c r="V42" s="2"/>
      <c r="W42" s="2"/>
      <c r="X42" s="2"/>
      <c r="Y42" s="2"/>
      <c r="Z42" s="2"/>
    </row>
    <row r="43" spans="1:26" x14ac:dyDescent="0.2">
      <c r="A43" s="2">
        <v>5</v>
      </c>
      <c r="B43" s="2">
        <v>260625</v>
      </c>
      <c r="C43" s="2" t="s">
        <v>32</v>
      </c>
      <c r="D43" s="2" t="s">
        <v>60</v>
      </c>
      <c r="E43" s="2" t="s">
        <v>88</v>
      </c>
      <c r="F43" s="2">
        <v>2.1267048853149069</v>
      </c>
      <c r="G43" s="2">
        <v>2.2558826411880979</v>
      </c>
      <c r="H43" s="2">
        <v>2.5862232341176732</v>
      </c>
      <c r="I43" s="2">
        <v>2.6358285320388761</v>
      </c>
      <c r="J43" s="2">
        <v>2.2172500446331038</v>
      </c>
      <c r="K43" s="2">
        <v>2.0067842447326512</v>
      </c>
      <c r="L43" s="2">
        <v>1.8401137172900159</v>
      </c>
      <c r="M43" s="2">
        <v>1.810965549946089</v>
      </c>
      <c r="N43" s="2"/>
      <c r="O43" s="2"/>
      <c r="P43" s="2"/>
      <c r="Q43" s="2">
        <f t="shared" si="3"/>
        <v>86.660278235780666</v>
      </c>
      <c r="R43" s="2">
        <f t="shared" si="4"/>
        <v>193.80151983717451</v>
      </c>
      <c r="S43" s="2">
        <f t="shared" si="5"/>
        <v>1336.2854435186971</v>
      </c>
      <c r="T43" s="2"/>
      <c r="U43" s="2"/>
      <c r="V43" s="2"/>
      <c r="W43" s="2"/>
      <c r="X43" s="2"/>
      <c r="Y43" s="2"/>
      <c r="Z43" s="2"/>
    </row>
    <row r="44" spans="1:26" x14ac:dyDescent="0.2">
      <c r="A44" s="2">
        <v>6</v>
      </c>
      <c r="B44" s="2">
        <v>260702</v>
      </c>
      <c r="C44" s="2" t="s">
        <v>45</v>
      </c>
      <c r="D44" s="2" t="s">
        <v>60</v>
      </c>
      <c r="E44" s="2" t="s">
        <v>89</v>
      </c>
      <c r="F44" s="2">
        <v>0.80528279391490054</v>
      </c>
      <c r="G44" s="2">
        <v>0.78277496766532717</v>
      </c>
      <c r="H44" s="2">
        <v>0.65561508379831124</v>
      </c>
      <c r="I44" s="2">
        <v>0.52569069220505638</v>
      </c>
      <c r="J44" s="2">
        <v>0.47531852523070772</v>
      </c>
      <c r="K44" s="2">
        <v>0.52548338935447625</v>
      </c>
      <c r="L44" s="2">
        <v>0.62935429195708359</v>
      </c>
      <c r="M44" s="2">
        <v>0.784606884422822</v>
      </c>
      <c r="N44" s="2">
        <v>3.2</v>
      </c>
      <c r="O44" s="2"/>
      <c r="P44" s="2"/>
      <c r="Q44" s="2">
        <f t="shared" si="3"/>
        <v>17.911757512861211</v>
      </c>
      <c r="R44" s="2">
        <f t="shared" si="4"/>
        <v>22.998787943433349</v>
      </c>
      <c r="S44" s="2">
        <f t="shared" si="5"/>
        <v>51.729162620518323</v>
      </c>
      <c r="T44" s="2"/>
      <c r="U44" s="2"/>
      <c r="V44" s="2"/>
      <c r="W44" s="2"/>
      <c r="X44" s="2"/>
      <c r="Y44" s="2"/>
      <c r="Z44" s="2"/>
    </row>
    <row r="45" spans="1:26" x14ac:dyDescent="0.2">
      <c r="A45" s="2">
        <v>6</v>
      </c>
      <c r="B45" s="2">
        <v>260702</v>
      </c>
      <c r="C45" s="2" t="s">
        <v>90</v>
      </c>
      <c r="D45" s="2" t="s">
        <v>60</v>
      </c>
      <c r="E45" s="2" t="s">
        <v>91</v>
      </c>
      <c r="F45" s="2">
        <v>1.134372081480274</v>
      </c>
      <c r="G45" s="2">
        <v>1.234320578633513</v>
      </c>
      <c r="H45" s="2">
        <v>1.133690720594515</v>
      </c>
      <c r="I45" s="2">
        <v>0.959907110599453</v>
      </c>
      <c r="J45" s="2">
        <v>0.82725576386579269</v>
      </c>
      <c r="K45" s="2">
        <v>0.85157034036536994</v>
      </c>
      <c r="L45" s="2">
        <v>0.93319109439504566</v>
      </c>
      <c r="M45" s="2">
        <v>1.0770884282763871</v>
      </c>
      <c r="N45" s="2">
        <v>4.4000000000000004</v>
      </c>
      <c r="O45" s="2"/>
      <c r="P45" s="2"/>
      <c r="Q45" s="2">
        <f t="shared" si="3"/>
        <v>31.275685330936927</v>
      </c>
      <c r="R45" s="2">
        <f t="shared" si="4"/>
        <v>54.105724393290764</v>
      </c>
      <c r="S45" s="2">
        <f t="shared" si="5"/>
        <v>173.77786955509819</v>
      </c>
      <c r="T45" s="2"/>
      <c r="U45" s="2"/>
      <c r="V45" s="2"/>
      <c r="W45" s="2"/>
      <c r="X45" s="2"/>
      <c r="Y45" s="2"/>
      <c r="Z45" s="2"/>
    </row>
    <row r="46" spans="1:26" x14ac:dyDescent="0.2">
      <c r="A46" s="2">
        <v>6</v>
      </c>
      <c r="B46" s="2">
        <v>260702</v>
      </c>
      <c r="C46" s="2" t="s">
        <v>92</v>
      </c>
      <c r="D46" s="2" t="s">
        <v>60</v>
      </c>
      <c r="E46" s="2" t="s">
        <v>93</v>
      </c>
      <c r="F46" s="2">
        <v>1.097552090303872</v>
      </c>
      <c r="G46" s="2">
        <v>0.90262530518581896</v>
      </c>
      <c r="H46" s="2">
        <v>0.7498774201163344</v>
      </c>
      <c r="I46" s="2">
        <v>0.51323292112952312</v>
      </c>
      <c r="J46" s="2">
        <v>0.40935690246138701</v>
      </c>
      <c r="K46" s="2">
        <v>0.46468966892014391</v>
      </c>
      <c r="L46" s="2">
        <v>0.456025006973865</v>
      </c>
      <c r="M46" s="2">
        <v>0.65401244688063132</v>
      </c>
      <c r="N46" s="2">
        <v>4.4000000000000004</v>
      </c>
      <c r="O46" s="2"/>
      <c r="P46" s="2"/>
      <c r="Q46" s="2">
        <f t="shared" si="3"/>
        <v>29.643132853616446</v>
      </c>
      <c r="R46" s="2">
        <f t="shared" si="4"/>
        <v>28.394273436442742</v>
      </c>
      <c r="S46" s="2">
        <f t="shared" si="5"/>
        <v>36.760288884135498</v>
      </c>
      <c r="T46" s="2"/>
      <c r="U46" s="2"/>
      <c r="V46" s="2"/>
      <c r="W46" s="2"/>
      <c r="X46" s="2"/>
      <c r="Y46" s="2"/>
      <c r="Z46" s="2"/>
    </row>
    <row r="47" spans="1:26" x14ac:dyDescent="0.2">
      <c r="A47" s="2">
        <v>6</v>
      </c>
      <c r="B47" s="2">
        <v>260702</v>
      </c>
      <c r="C47" s="2" t="s">
        <v>49</v>
      </c>
      <c r="D47" s="2" t="s">
        <v>60</v>
      </c>
      <c r="E47" s="2" t="s">
        <v>94</v>
      </c>
      <c r="F47" s="2">
        <v>1.207828190946675</v>
      </c>
      <c r="G47" s="2">
        <v>1.2990888773198641</v>
      </c>
      <c r="H47" s="2">
        <v>1.2355037929079931</v>
      </c>
      <c r="I47" s="2">
        <v>1.004016592251552</v>
      </c>
      <c r="J47" s="2">
        <v>0.80081359220242265</v>
      </c>
      <c r="K47" s="2">
        <v>0.81143561473967107</v>
      </c>
      <c r="L47" s="2">
        <v>0.83777609222369076</v>
      </c>
      <c r="M47" s="2">
        <v>0.99229453770793374</v>
      </c>
      <c r="N47" s="2">
        <v>13.87</v>
      </c>
      <c r="O47" s="2"/>
      <c r="P47" s="2"/>
      <c r="Q47" s="2">
        <f t="shared" si="3"/>
        <v>34.630983996096852</v>
      </c>
      <c r="R47" s="2">
        <f t="shared" si="4"/>
        <v>61.839048217749699</v>
      </c>
      <c r="S47" s="2">
        <f t="shared" si="5"/>
        <v>162.15542548095422</v>
      </c>
      <c r="T47" s="2"/>
      <c r="U47" s="2"/>
      <c r="V47" s="2"/>
      <c r="W47" s="2"/>
      <c r="X47" s="2"/>
      <c r="Y47" s="2"/>
      <c r="Z47" s="2"/>
    </row>
    <row r="48" spans="1:26" x14ac:dyDescent="0.2">
      <c r="A48" s="2">
        <v>6</v>
      </c>
      <c r="B48" s="2">
        <v>260702</v>
      </c>
      <c r="C48" s="2" t="s">
        <v>51</v>
      </c>
      <c r="D48" s="2" t="s">
        <v>60</v>
      </c>
      <c r="E48" s="2" t="s">
        <v>95</v>
      </c>
      <c r="F48" s="2">
        <v>0.88137293936679473</v>
      </c>
      <c r="G48" s="2">
        <v>1.232225353247508</v>
      </c>
      <c r="H48" s="2">
        <v>1.167708774438416</v>
      </c>
      <c r="I48" s="2">
        <v>0.83387077143991173</v>
      </c>
      <c r="J48" s="2">
        <v>0.51874474010221461</v>
      </c>
      <c r="K48" s="2">
        <v>0.44467525031966543</v>
      </c>
      <c r="L48" s="2">
        <v>0.44860627134703029</v>
      </c>
      <c r="M48" s="2">
        <v>0.58573857405635477</v>
      </c>
      <c r="N48" s="2">
        <v>26.2</v>
      </c>
      <c r="O48" s="2"/>
      <c r="P48" s="2"/>
      <c r="Q48" s="2">
        <f t="shared" si="3"/>
        <v>20.748833755054413</v>
      </c>
      <c r="R48" s="2">
        <f t="shared" si="4"/>
        <v>56.649638755212919</v>
      </c>
      <c r="S48" s="2">
        <f t="shared" si="5"/>
        <v>62.954390634527165</v>
      </c>
      <c r="T48" s="2"/>
      <c r="U48" s="2"/>
      <c r="V48" s="2"/>
      <c r="W48" s="2"/>
      <c r="X48" s="2"/>
      <c r="Y48" s="2"/>
      <c r="Z48" s="2"/>
    </row>
    <row r="49" spans="1:26" x14ac:dyDescent="0.2">
      <c r="A49" s="2">
        <v>6</v>
      </c>
      <c r="B49" s="2">
        <v>260702</v>
      </c>
      <c r="C49" s="2" t="s">
        <v>53</v>
      </c>
      <c r="D49" s="2" t="s">
        <v>60</v>
      </c>
      <c r="E49" s="2" t="s">
        <v>96</v>
      </c>
      <c r="F49" s="2">
        <v>1.872133120667292</v>
      </c>
      <c r="G49" s="2">
        <v>1.9870543705127039</v>
      </c>
      <c r="H49" s="2">
        <v>2.25731756230382</v>
      </c>
      <c r="I49" s="2">
        <v>2.1395372988141408</v>
      </c>
      <c r="J49" s="2">
        <v>1.669159712040178</v>
      </c>
      <c r="K49" s="2">
        <v>1.525053643820331</v>
      </c>
      <c r="L49" s="2">
        <v>1.4525996826075089</v>
      </c>
      <c r="M49" s="2">
        <v>1.539087605632623</v>
      </c>
      <c r="N49" s="2">
        <v>38.729999999999997</v>
      </c>
      <c r="O49" s="2"/>
      <c r="P49" s="2"/>
      <c r="Q49" s="2">
        <f t="shared" si="3"/>
        <v>70.492313954101803</v>
      </c>
      <c r="R49" s="2">
        <f t="shared" si="4"/>
        <v>157.12755969728306</v>
      </c>
      <c r="S49" s="2">
        <f t="shared" si="5"/>
        <v>749.44555534312497</v>
      </c>
      <c r="T49" s="2"/>
      <c r="U49" s="2"/>
      <c r="V49" s="2"/>
      <c r="W49" s="2"/>
      <c r="X49" s="2"/>
      <c r="Y49" s="2"/>
      <c r="Z49" s="2"/>
    </row>
    <row r="50" spans="1:26" x14ac:dyDescent="0.2">
      <c r="A50" s="2">
        <v>6</v>
      </c>
      <c r="B50" s="2">
        <v>260702</v>
      </c>
      <c r="C50" s="2" t="s">
        <v>85</v>
      </c>
      <c r="D50" s="2" t="s">
        <v>60</v>
      </c>
      <c r="E50" s="2" t="s">
        <v>97</v>
      </c>
      <c r="F50" s="2">
        <v>1.435244766557435</v>
      </c>
      <c r="G50" s="2">
        <v>1.578191845047981</v>
      </c>
      <c r="H50" s="2">
        <v>1.770550184331938</v>
      </c>
      <c r="I50" s="2">
        <v>1.6938336119594499</v>
      </c>
      <c r="J50" s="2">
        <v>1.3512791348910651</v>
      </c>
      <c r="K50" s="2">
        <v>1.25688516332668</v>
      </c>
      <c r="L50" s="2">
        <v>1.2858572956951231</v>
      </c>
      <c r="M50" s="2">
        <v>1.3982506956436349</v>
      </c>
      <c r="N50" s="2">
        <v>25</v>
      </c>
      <c r="O50" s="2"/>
      <c r="P50" s="2"/>
      <c r="Q50" s="2">
        <f t="shared" si="3"/>
        <v>45.820265911068958</v>
      </c>
      <c r="R50" s="2">
        <f t="shared" si="4"/>
        <v>107.97750575921678</v>
      </c>
      <c r="S50" s="2">
        <f t="shared" si="5"/>
        <v>485.45819528353138</v>
      </c>
      <c r="T50" s="2"/>
      <c r="U50" s="2"/>
      <c r="V50" s="2"/>
      <c r="W50" s="2"/>
      <c r="X50" s="2"/>
      <c r="Y50" s="2"/>
      <c r="Z50" s="2"/>
    </row>
    <row r="51" spans="1:26" x14ac:dyDescent="0.2">
      <c r="A51" s="2">
        <v>6</v>
      </c>
      <c r="B51" s="2">
        <v>260702</v>
      </c>
      <c r="C51" s="2" t="s">
        <v>34</v>
      </c>
      <c r="D51" s="2" t="s">
        <v>60</v>
      </c>
      <c r="E51" s="2" t="s">
        <v>98</v>
      </c>
      <c r="F51" s="2">
        <v>1.5729589025032591</v>
      </c>
      <c r="G51" s="2">
        <v>1.6940758138380021</v>
      </c>
      <c r="H51" s="2">
        <v>1.9358547959888259</v>
      </c>
      <c r="I51" s="2">
        <v>1.837549922582401</v>
      </c>
      <c r="J51" s="2">
        <v>1.4803005902772239</v>
      </c>
      <c r="K51" s="2">
        <v>1.352966780007127</v>
      </c>
      <c r="L51" s="2">
        <v>1.305519532990425</v>
      </c>
      <c r="M51" s="2">
        <v>1.3816143625584369</v>
      </c>
      <c r="N51" s="2">
        <v>17.2</v>
      </c>
      <c r="O51" s="2"/>
      <c r="P51" s="2"/>
      <c r="Q51" s="2">
        <f t="shared" si="3"/>
        <v>53.160412427815032</v>
      </c>
      <c r="R51" s="2">
        <f t="shared" si="4"/>
        <v>123.94913702108185</v>
      </c>
      <c r="S51" s="2">
        <f t="shared" si="5"/>
        <v>585.81698802422477</v>
      </c>
      <c r="T51" s="2"/>
      <c r="U51" s="2"/>
      <c r="V51" s="2"/>
      <c r="W51" s="2"/>
      <c r="X51" s="2"/>
      <c r="Y51" s="2"/>
      <c r="Z51" s="2"/>
    </row>
    <row r="52" spans="1:26" x14ac:dyDescent="0.2">
      <c r="A52" s="2">
        <v>6</v>
      </c>
      <c r="B52" s="2">
        <v>260702</v>
      </c>
      <c r="C52" s="2" t="s">
        <v>32</v>
      </c>
      <c r="D52" s="2" t="s">
        <v>60</v>
      </c>
      <c r="E52" s="2" t="s">
        <v>99</v>
      </c>
      <c r="F52" s="2">
        <v>1.654098071367248</v>
      </c>
      <c r="G52" s="2">
        <v>1.79124583011834</v>
      </c>
      <c r="H52" s="2">
        <v>2.0509686786749781</v>
      </c>
      <c r="I52" s="2">
        <v>1.9949548629003211</v>
      </c>
      <c r="J52" s="2">
        <v>1.6606075661633879</v>
      </c>
      <c r="K52" s="2">
        <v>1.5353879788183431</v>
      </c>
      <c r="L52" s="2">
        <v>1.505684171404124</v>
      </c>
      <c r="M52" s="2">
        <v>1.576788131273178</v>
      </c>
      <c r="N52" s="2">
        <v>22.13</v>
      </c>
      <c r="O52" s="2"/>
      <c r="P52" s="2"/>
      <c r="Q52" s="2">
        <f t="shared" si="3"/>
        <v>57.676673024872898</v>
      </c>
      <c r="R52" s="2">
        <f t="shared" si="4"/>
        <v>135.51555378355457</v>
      </c>
      <c r="S52" s="2">
        <f t="shared" si="5"/>
        <v>741.60716174139418</v>
      </c>
      <c r="T52" s="2"/>
      <c r="U52" s="2"/>
      <c r="V52" s="2"/>
      <c r="W52" s="2"/>
      <c r="X52" s="2"/>
      <c r="Y52" s="2"/>
      <c r="Z52" s="2"/>
    </row>
    <row r="53" spans="1:26" x14ac:dyDescent="0.2">
      <c r="A53" s="2">
        <v>7</v>
      </c>
      <c r="B53" s="2">
        <v>260709</v>
      </c>
      <c r="C53" s="2" t="s">
        <v>36</v>
      </c>
      <c r="D53" s="2" t="s">
        <v>60</v>
      </c>
      <c r="E53" s="2" t="s">
        <v>100</v>
      </c>
      <c r="F53" s="2">
        <v>2.2029666697985442</v>
      </c>
      <c r="G53" s="2">
        <v>2.3938515075746878</v>
      </c>
      <c r="H53" s="2">
        <v>2.8065468355392929</v>
      </c>
      <c r="I53" s="2">
        <v>2.8152208683895328</v>
      </c>
      <c r="J53" s="2">
        <v>2.3471719252970682</v>
      </c>
      <c r="K53" s="2">
        <v>2.1005658909389049</v>
      </c>
      <c r="L53" s="2">
        <v>1.873439674498365</v>
      </c>
      <c r="M53" s="2">
        <v>1.740783936136705</v>
      </c>
      <c r="N53" s="2">
        <v>6.27</v>
      </c>
      <c r="O53" s="2"/>
      <c r="P53" s="2"/>
      <c r="Q53" s="2">
        <f t="shared" si="3"/>
        <v>91.74731652458965</v>
      </c>
      <c r="R53" s="2">
        <f t="shared" si="4"/>
        <v>219.82488547837579</v>
      </c>
      <c r="S53" s="2">
        <f t="shared" si="5"/>
        <v>1499.7073166319622</v>
      </c>
      <c r="T53" s="2"/>
      <c r="U53" s="2"/>
      <c r="V53" s="2"/>
      <c r="W53" s="2"/>
      <c r="X53" s="2"/>
      <c r="Y53" s="2"/>
      <c r="Z53" s="2"/>
    </row>
    <row r="54" spans="1:26" x14ac:dyDescent="0.2">
      <c r="A54" s="2">
        <v>7</v>
      </c>
      <c r="B54" s="2">
        <v>260709</v>
      </c>
      <c r="C54" s="2" t="s">
        <v>19</v>
      </c>
      <c r="D54" s="2" t="s">
        <v>60</v>
      </c>
      <c r="E54" s="2" t="s">
        <v>101</v>
      </c>
      <c r="F54" s="2">
        <v>1.6159922931500319</v>
      </c>
      <c r="G54" s="2">
        <v>1.7268658347126491</v>
      </c>
      <c r="H54" s="2">
        <v>1.9710728323205771</v>
      </c>
      <c r="I54" s="2">
        <v>1.9635549673916051</v>
      </c>
      <c r="J54" s="2">
        <v>1.627075941467409</v>
      </c>
      <c r="K54" s="2">
        <v>1.557705687854948</v>
      </c>
      <c r="L54" s="2">
        <v>1.5515361012948401</v>
      </c>
      <c r="M54" s="2">
        <v>1.5767836084576179</v>
      </c>
      <c r="N54" s="2">
        <v>23.47</v>
      </c>
      <c r="O54" s="2"/>
      <c r="P54" s="2"/>
      <c r="Q54" s="2">
        <f t="shared" si="3"/>
        <v>55.538254079607178</v>
      </c>
      <c r="R54" s="2">
        <f t="shared" si="4"/>
        <v>127.44968898173454</v>
      </c>
      <c r="S54" s="2">
        <f t="shared" si="5"/>
        <v>711.26608295566962</v>
      </c>
      <c r="T54" s="2"/>
      <c r="U54" s="2"/>
      <c r="V54" s="2"/>
      <c r="W54" s="2"/>
      <c r="X54" s="2"/>
      <c r="Y54" s="2"/>
      <c r="Z54" s="2"/>
    </row>
    <row r="55" spans="1:26" x14ac:dyDescent="0.2">
      <c r="A55" s="2">
        <v>7</v>
      </c>
      <c r="B55" s="2">
        <v>260709</v>
      </c>
      <c r="C55" s="2" t="s">
        <v>22</v>
      </c>
      <c r="D55" s="2" t="s">
        <v>60</v>
      </c>
      <c r="E55" s="2" t="s">
        <v>102</v>
      </c>
      <c r="F55" s="2">
        <v>2.1469898037134292</v>
      </c>
      <c r="G55" s="2">
        <v>2.36180040572164</v>
      </c>
      <c r="H55" s="2">
        <v>2.6868232848932339</v>
      </c>
      <c r="I55" s="2">
        <v>2.7013658689876272</v>
      </c>
      <c r="J55" s="2">
        <v>2.3110473822188888</v>
      </c>
      <c r="K55" s="2">
        <v>2.146321957513837</v>
      </c>
      <c r="L55" s="2">
        <v>1.968655726398296</v>
      </c>
      <c r="M55" s="2">
        <v>1.9737319386108549</v>
      </c>
      <c r="N55" s="2">
        <v>8.5500000000000007</v>
      </c>
      <c r="O55" s="2"/>
      <c r="P55" s="2"/>
      <c r="Q55" s="2">
        <f t="shared" si="3"/>
        <v>88.00260482395349</v>
      </c>
      <c r="R55" s="2">
        <f t="shared" si="4"/>
        <v>205.54261090332471</v>
      </c>
      <c r="S55" s="2">
        <f t="shared" si="5"/>
        <v>1453.335554090097</v>
      </c>
      <c r="T55" s="2"/>
      <c r="U55" s="2"/>
      <c r="V55" s="2"/>
      <c r="W55" s="2"/>
      <c r="X55" s="2"/>
      <c r="Y55" s="2"/>
      <c r="Z55" s="2"/>
    </row>
    <row r="56" spans="1:26" x14ac:dyDescent="0.2">
      <c r="A56" s="2">
        <v>7</v>
      </c>
      <c r="B56" s="2">
        <v>260709</v>
      </c>
      <c r="C56" s="2" t="s">
        <v>24</v>
      </c>
      <c r="D56" s="2" t="s">
        <v>60</v>
      </c>
      <c r="E56" s="2" t="s">
        <v>103</v>
      </c>
      <c r="F56" s="2">
        <v>2.7938974093144728</v>
      </c>
      <c r="G56" s="2">
        <v>2.8298342593280981</v>
      </c>
      <c r="H56" s="2">
        <v>3.1412773415842108</v>
      </c>
      <c r="I56" s="2">
        <v>3.4524927837523869</v>
      </c>
      <c r="J56" s="2">
        <v>3.0428143714702101</v>
      </c>
      <c r="K56" s="2">
        <v>2.809362633338357</v>
      </c>
      <c r="L56" s="2">
        <v>2.4760052078609962</v>
      </c>
      <c r="M56" s="2">
        <v>2.2377130356292061</v>
      </c>
      <c r="N56" s="2">
        <v>3.23</v>
      </c>
      <c r="O56" s="2"/>
      <c r="P56" s="2"/>
      <c r="Q56" s="2">
        <f t="shared" si="3"/>
        <v>134.77552668858789</v>
      </c>
      <c r="R56" s="2">
        <f t="shared" si="4"/>
        <v>261.48520882871367</v>
      </c>
      <c r="S56" s="2">
        <f t="shared" si="5"/>
        <v>2532.3460926192215</v>
      </c>
      <c r="T56" s="2"/>
      <c r="U56" s="2"/>
      <c r="V56" s="2"/>
      <c r="W56" s="2"/>
      <c r="X56" s="2"/>
      <c r="Y56" s="2"/>
      <c r="Z56" s="2"/>
    </row>
    <row r="57" spans="1:26" x14ac:dyDescent="0.2">
      <c r="A57" s="2">
        <v>7</v>
      </c>
      <c r="B57" s="2">
        <v>260709</v>
      </c>
      <c r="C57" s="2" t="s">
        <v>70</v>
      </c>
      <c r="D57" s="2" t="s">
        <v>60</v>
      </c>
      <c r="E57" s="2" t="s">
        <v>104</v>
      </c>
      <c r="F57" s="2">
        <v>2.6400081835751088</v>
      </c>
      <c r="G57" s="2">
        <v>2.7727152993397448</v>
      </c>
      <c r="H57" s="2">
        <v>3.1262572026176301</v>
      </c>
      <c r="I57" s="2">
        <v>3.4868800440350789</v>
      </c>
      <c r="J57" s="2">
        <v>3.20038952686529</v>
      </c>
      <c r="K57" s="2">
        <v>2.895439347288324</v>
      </c>
      <c r="L57" s="2">
        <v>2.5337479186901661</v>
      </c>
      <c r="M57" s="2">
        <v>2.306480146540252</v>
      </c>
      <c r="N57" s="2">
        <v>3.73</v>
      </c>
      <c r="O57" s="2"/>
      <c r="P57" s="2"/>
      <c r="Q57" s="2">
        <f t="shared" si="3"/>
        <v>122.97097231648911</v>
      </c>
      <c r="R57" s="2">
        <f t="shared" si="4"/>
        <v>259.56249992153749</v>
      </c>
      <c r="S57" s="2">
        <f t="shared" si="5"/>
        <v>2803.031149769894</v>
      </c>
      <c r="T57" s="2"/>
      <c r="U57" s="2"/>
      <c r="V57" s="2"/>
      <c r="W57" s="2"/>
      <c r="X57" s="2"/>
      <c r="Y57" s="2"/>
      <c r="Z57" s="2"/>
    </row>
    <row r="58" spans="1:26" x14ac:dyDescent="0.2">
      <c r="A58" s="2">
        <v>7</v>
      </c>
      <c r="B58" s="2">
        <v>260709</v>
      </c>
      <c r="C58" s="2" t="s">
        <v>72</v>
      </c>
      <c r="D58" s="2" t="s">
        <v>60</v>
      </c>
      <c r="E58" s="2" t="s">
        <v>105</v>
      </c>
      <c r="F58" s="2">
        <v>2.6837641169947881</v>
      </c>
      <c r="G58" s="2">
        <v>2.791192641599451</v>
      </c>
      <c r="H58" s="2">
        <v>3.0858004051169292</v>
      </c>
      <c r="I58" s="2">
        <v>3.421778808003372</v>
      </c>
      <c r="J58" s="2">
        <v>3.1264682351903641</v>
      </c>
      <c r="K58" s="2">
        <v>2.850997413121628</v>
      </c>
      <c r="L58" s="2">
        <v>2.511538405697582</v>
      </c>
      <c r="M58" s="2">
        <v>2.2609411957009509</v>
      </c>
      <c r="N58" s="2">
        <v>3.73</v>
      </c>
      <c r="O58" s="2"/>
      <c r="P58" s="2"/>
      <c r="Q58" s="2">
        <f t="shared" si="3"/>
        <v>126.28550470894633</v>
      </c>
      <c r="R58" s="2">
        <f t="shared" si="4"/>
        <v>254.40823561461633</v>
      </c>
      <c r="S58" s="2">
        <f t="shared" si="5"/>
        <v>2674.3608164940042</v>
      </c>
      <c r="T58" s="2"/>
      <c r="U58" s="2"/>
      <c r="V58" s="2"/>
      <c r="W58" s="2"/>
      <c r="X58" s="2"/>
      <c r="Y58" s="2"/>
      <c r="Z58" s="2"/>
    </row>
    <row r="59" spans="1:26" x14ac:dyDescent="0.2">
      <c r="A59" s="2">
        <v>7</v>
      </c>
      <c r="B59" s="2">
        <v>260709</v>
      </c>
      <c r="C59" s="2" t="s">
        <v>43</v>
      </c>
      <c r="D59" s="2" t="s">
        <v>60</v>
      </c>
      <c r="E59" s="2" t="s">
        <v>106</v>
      </c>
      <c r="F59" s="2">
        <v>3.8301957719481168</v>
      </c>
      <c r="G59" s="2">
        <v>3.9612645305763139</v>
      </c>
      <c r="H59" s="2">
        <v>4.4218773035250001</v>
      </c>
      <c r="I59" s="2">
        <v>4.8070845955511672</v>
      </c>
      <c r="J59" s="2">
        <v>4.3863056745757971</v>
      </c>
      <c r="K59" s="2">
        <v>4.0552709948243297</v>
      </c>
      <c r="L59" s="2">
        <v>3.545414599729539</v>
      </c>
      <c r="M59" s="2">
        <v>3.25128781271443</v>
      </c>
      <c r="N59" s="2">
        <v>6.53</v>
      </c>
      <c r="O59" s="2"/>
      <c r="P59" s="2"/>
      <c r="Q59" s="2">
        <f t="shared" si="3"/>
        <v>224.47641831470222</v>
      </c>
      <c r="R59" s="2">
        <f t="shared" si="4"/>
        <v>442.5039416510071</v>
      </c>
      <c r="S59" s="2">
        <f t="shared" si="5"/>
        <v>5273.4273127092811</v>
      </c>
      <c r="T59" s="2"/>
      <c r="U59" s="2"/>
      <c r="V59" s="2"/>
      <c r="W59" s="2"/>
      <c r="X59" s="2"/>
      <c r="Y59" s="2"/>
      <c r="Z59" s="2"/>
    </row>
    <row r="60" spans="1:26" x14ac:dyDescent="0.2">
      <c r="A60" s="2">
        <v>8</v>
      </c>
      <c r="B60" s="2">
        <v>260716</v>
      </c>
      <c r="C60" s="2" t="s">
        <v>45</v>
      </c>
      <c r="D60" s="2" t="s">
        <v>60</v>
      </c>
      <c r="E60" s="2" t="s">
        <v>107</v>
      </c>
      <c r="F60" s="2">
        <v>0.96331256365177831</v>
      </c>
      <c r="G60" s="2">
        <v>1.032335056739929</v>
      </c>
      <c r="H60" s="2">
        <v>0.89567064155195153</v>
      </c>
      <c r="I60" s="2">
        <v>0.77056748789159824</v>
      </c>
      <c r="J60" s="2">
        <v>0.66818982559970519</v>
      </c>
      <c r="K60" s="2">
        <v>0.71425368879912743</v>
      </c>
      <c r="L60" s="2">
        <v>0.83426216731721037</v>
      </c>
      <c r="M60" s="2">
        <v>0.96813126382092651</v>
      </c>
      <c r="N60" s="2"/>
      <c r="O60" s="2"/>
      <c r="P60" s="2"/>
      <c r="Q60" s="2">
        <f t="shared" si="3"/>
        <v>23.978098872411859</v>
      </c>
      <c r="R60" s="2">
        <f t="shared" si="4"/>
        <v>37.484769431885965</v>
      </c>
      <c r="S60" s="2">
        <f t="shared" si="5"/>
        <v>109.8560030189782</v>
      </c>
      <c r="T60" s="2"/>
      <c r="U60" s="2"/>
      <c r="V60" s="2"/>
      <c r="W60" s="2"/>
      <c r="X60" s="2"/>
      <c r="Y60" s="2"/>
      <c r="Z60" s="2"/>
    </row>
    <row r="61" spans="1:26" x14ac:dyDescent="0.2">
      <c r="A61" s="2">
        <v>8</v>
      </c>
      <c r="B61" s="2">
        <v>260716</v>
      </c>
      <c r="C61" s="2" t="s">
        <v>47</v>
      </c>
      <c r="D61" s="2" t="s">
        <v>60</v>
      </c>
      <c r="E61" s="2" t="s">
        <v>108</v>
      </c>
      <c r="F61" s="2">
        <v>0.90535991107929559</v>
      </c>
      <c r="G61" s="2">
        <v>0.96402971135491811</v>
      </c>
      <c r="H61" s="2">
        <v>0.80928720644669616</v>
      </c>
      <c r="I61" s="2">
        <v>0.65005905791940288</v>
      </c>
      <c r="J61" s="2">
        <v>0.52330084923514963</v>
      </c>
      <c r="K61" s="2">
        <v>0.54730500095099321</v>
      </c>
      <c r="L61" s="2">
        <v>0.63283201848864357</v>
      </c>
      <c r="M61" s="2">
        <v>0.75987511233437222</v>
      </c>
      <c r="N61" s="2"/>
      <c r="O61" s="2"/>
      <c r="P61" s="2"/>
      <c r="Q61" s="2">
        <f t="shared" si="3"/>
        <v>21.675752065347954</v>
      </c>
      <c r="R61" s="2">
        <f t="shared" si="4"/>
        <v>31.992719405655095</v>
      </c>
      <c r="S61" s="2">
        <f t="shared" si="5"/>
        <v>64.195006670131704</v>
      </c>
      <c r="T61" s="2"/>
      <c r="U61" s="2"/>
      <c r="V61" s="2"/>
      <c r="W61" s="2"/>
      <c r="X61" s="2"/>
      <c r="Y61" s="2"/>
      <c r="Z61" s="2"/>
    </row>
    <row r="62" spans="1:26" x14ac:dyDescent="0.2">
      <c r="A62" s="2">
        <v>8</v>
      </c>
      <c r="B62" s="2">
        <v>260716</v>
      </c>
      <c r="C62" s="2" t="s">
        <v>49</v>
      </c>
      <c r="D62" s="2" t="s">
        <v>60</v>
      </c>
      <c r="E62" s="2" t="s">
        <v>109</v>
      </c>
      <c r="F62" s="2">
        <v>0.75635214791924166</v>
      </c>
      <c r="G62" s="2">
        <v>0.96768967284704277</v>
      </c>
      <c r="H62" s="2">
        <v>0.82964957257410232</v>
      </c>
      <c r="I62" s="2">
        <v>0.61270378734546327</v>
      </c>
      <c r="J62" s="2">
        <v>0.44581422925471059</v>
      </c>
      <c r="K62" s="2">
        <v>0.41716508662783952</v>
      </c>
      <c r="L62" s="2">
        <v>0.46572655402253038</v>
      </c>
      <c r="M62" s="2">
        <v>0.55991791197889218</v>
      </c>
      <c r="N62" s="2"/>
      <c r="O62" s="2"/>
      <c r="P62" s="2"/>
      <c r="Q62" s="2">
        <f t="shared" si="3"/>
        <v>16.172230894243228</v>
      </c>
      <c r="R62" s="2">
        <f t="shared" si="4"/>
        <v>33.260005114732863</v>
      </c>
      <c r="S62" s="2">
        <f t="shared" si="5"/>
        <v>44.72283561662362</v>
      </c>
      <c r="T62" s="2"/>
      <c r="U62" s="2"/>
      <c r="V62" s="2"/>
      <c r="W62" s="2"/>
      <c r="X62" s="2"/>
      <c r="Y62" s="2"/>
      <c r="Z62" s="2"/>
    </row>
    <row r="63" spans="1:26" x14ac:dyDescent="0.2">
      <c r="A63" s="2">
        <v>8</v>
      </c>
      <c r="B63" s="2">
        <v>260716</v>
      </c>
      <c r="C63" s="2" t="s">
        <v>51</v>
      </c>
      <c r="D63" s="2" t="s">
        <v>60</v>
      </c>
      <c r="E63" s="2" t="s">
        <v>110</v>
      </c>
      <c r="F63" s="2">
        <v>1.63200501305326</v>
      </c>
      <c r="G63" s="2">
        <v>1.9070198836197669</v>
      </c>
      <c r="H63" s="2">
        <v>1.992016633770133</v>
      </c>
      <c r="I63" s="2">
        <v>1.7231752418176409</v>
      </c>
      <c r="J63" s="2">
        <v>1.4048007283661359</v>
      </c>
      <c r="K63" s="2">
        <v>1.3041044199542</v>
      </c>
      <c r="L63" s="2">
        <v>1.323621955582692</v>
      </c>
      <c r="M63" s="2">
        <v>1.4369802887200509</v>
      </c>
      <c r="N63" s="2"/>
      <c r="O63" s="2"/>
      <c r="P63" s="2"/>
      <c r="Q63" s="2">
        <f t="shared" si="3"/>
        <v>56.43311379835211</v>
      </c>
      <c r="R63" s="2">
        <f t="shared" si="4"/>
        <v>129.54742687742555</v>
      </c>
      <c r="S63" s="2">
        <f t="shared" si="5"/>
        <v>525.96203828725982</v>
      </c>
      <c r="T63" s="2"/>
      <c r="U63" s="2"/>
      <c r="V63" s="2"/>
      <c r="W63" s="2"/>
      <c r="X63" s="2"/>
      <c r="Y63" s="2"/>
      <c r="Z63" s="2"/>
    </row>
    <row r="64" spans="1:26" x14ac:dyDescent="0.2">
      <c r="A64" s="2">
        <v>8</v>
      </c>
      <c r="B64" s="2">
        <v>260716</v>
      </c>
      <c r="C64" s="2" t="s">
        <v>53</v>
      </c>
      <c r="D64" s="2" t="s">
        <v>60</v>
      </c>
      <c r="E64" s="2" t="s">
        <v>111</v>
      </c>
      <c r="F64" s="2">
        <v>1.824304231025716</v>
      </c>
      <c r="G64" s="2">
        <v>1.676289194593062</v>
      </c>
      <c r="H64" s="2">
        <v>2.031593565246165</v>
      </c>
      <c r="I64" s="2">
        <v>2.1076382994098881</v>
      </c>
      <c r="J64" s="2">
        <v>1.8203568030582711</v>
      </c>
      <c r="K64" s="2">
        <v>1.6663062920380269</v>
      </c>
      <c r="L64" s="2">
        <v>1.628921802794058</v>
      </c>
      <c r="M64" s="2">
        <v>1.677271103630773</v>
      </c>
      <c r="N64" s="2"/>
      <c r="O64" s="2"/>
      <c r="P64" s="2"/>
      <c r="Q64" s="2">
        <f t="shared" si="3"/>
        <v>67.59779683723842</v>
      </c>
      <c r="R64" s="2">
        <f t="shared" si="4"/>
        <v>133.54379140353856</v>
      </c>
      <c r="S64" s="2">
        <f t="shared" si="5"/>
        <v>894.72684275321637</v>
      </c>
      <c r="T64" s="2"/>
      <c r="U64" s="2"/>
      <c r="V64" s="2"/>
      <c r="W64" s="2"/>
      <c r="X64" s="2"/>
      <c r="Y64" s="2"/>
      <c r="Z64" s="2"/>
    </row>
    <row r="65" spans="1:26" x14ac:dyDescent="0.2">
      <c r="A65" s="2">
        <v>8</v>
      </c>
      <c r="B65" s="2">
        <v>260716</v>
      </c>
      <c r="C65" s="2" t="s">
        <v>85</v>
      </c>
      <c r="D65" s="2" t="s">
        <v>60</v>
      </c>
      <c r="E65" s="2" t="s">
        <v>112</v>
      </c>
      <c r="F65" s="2">
        <v>1.687541173729598</v>
      </c>
      <c r="G65" s="2">
        <v>1.592806475373848</v>
      </c>
      <c r="H65" s="2">
        <v>1.960912911467724</v>
      </c>
      <c r="I65" s="2">
        <v>1.811253696494447</v>
      </c>
      <c r="J65" s="2">
        <v>1.4851284129353881</v>
      </c>
      <c r="K65" s="2">
        <v>1.37279718300288</v>
      </c>
      <c r="L65" s="2">
        <v>1.3807452360557559</v>
      </c>
      <c r="M65" s="2">
        <v>1.461217287238004</v>
      </c>
      <c r="N65" s="2"/>
      <c r="O65" s="2"/>
      <c r="P65" s="2"/>
      <c r="Q65" s="2">
        <f t="shared" si="3"/>
        <v>59.578629348472205</v>
      </c>
      <c r="R65" s="2">
        <f t="shared" si="4"/>
        <v>126.43635689307111</v>
      </c>
      <c r="S65" s="2">
        <f t="shared" si="5"/>
        <v>589.75252976632851</v>
      </c>
      <c r="T65" s="2"/>
      <c r="U65" s="2"/>
      <c r="V65" s="2"/>
      <c r="W65" s="2"/>
      <c r="X65" s="2"/>
      <c r="Y65" s="2"/>
      <c r="Z65" s="2"/>
    </row>
    <row r="66" spans="1:26" x14ac:dyDescent="0.2">
      <c r="A66" s="2">
        <v>8</v>
      </c>
      <c r="B66" s="2">
        <v>260716</v>
      </c>
      <c r="C66" s="2" t="s">
        <v>36</v>
      </c>
      <c r="D66" s="2" t="s">
        <v>60</v>
      </c>
      <c r="E66" s="2" t="s">
        <v>113</v>
      </c>
      <c r="F66" s="2">
        <v>2.1500323562019279</v>
      </c>
      <c r="G66" s="2">
        <v>2.091634988864878</v>
      </c>
      <c r="H66" s="2">
        <v>2.5452583503398989</v>
      </c>
      <c r="I66" s="2">
        <v>2.5300997500109088</v>
      </c>
      <c r="J66" s="2">
        <v>2.2155019109514642</v>
      </c>
      <c r="K66" s="2">
        <v>2.0386293538779521</v>
      </c>
      <c r="L66" s="2">
        <v>1.931542872429447</v>
      </c>
      <c r="M66" s="2">
        <v>1.9340770238623139</v>
      </c>
      <c r="N66" s="2"/>
      <c r="O66" s="2"/>
      <c r="P66" s="2"/>
      <c r="Q66" s="2">
        <f t="shared" ref="Q66:Q97" si="6">((F66- 0.00793) / 0.1333)^(1/0.6199)</f>
        <v>88.20461737470238</v>
      </c>
      <c r="R66" s="2">
        <f t="shared" ref="R66:R97" si="7">((H66- 0.0166) / 0.0825)^(1/0.6529)</f>
        <v>189.08953502941452</v>
      </c>
      <c r="S66" s="2">
        <f t="shared" ref="S66:S97" si="8">((J66- 0.06053) / 0.0561)^(1/0.507)</f>
        <v>1334.1499367114975</v>
      </c>
      <c r="T66" s="2"/>
      <c r="U66" s="2"/>
      <c r="V66" s="2"/>
      <c r="W66" s="2"/>
      <c r="X66" s="2"/>
      <c r="Y66" s="2"/>
      <c r="Z66" s="2"/>
    </row>
    <row r="67" spans="1:26" x14ac:dyDescent="0.2">
      <c r="A67" s="2">
        <v>9</v>
      </c>
      <c r="B67" s="2">
        <v>260728</v>
      </c>
      <c r="C67" s="2" t="s">
        <v>19</v>
      </c>
      <c r="D67" s="2" t="s">
        <v>60</v>
      </c>
      <c r="E67" s="2" t="s">
        <v>114</v>
      </c>
      <c r="F67" s="2">
        <v>2.1371648672825772</v>
      </c>
      <c r="G67" s="2">
        <v>2.3375604572692898</v>
      </c>
      <c r="H67" s="2">
        <v>2.621148348038949</v>
      </c>
      <c r="I67" s="2">
        <v>2.6191905590242301</v>
      </c>
      <c r="J67" s="2">
        <v>2.1480603782384251</v>
      </c>
      <c r="K67" s="2">
        <v>1.884329175548991</v>
      </c>
      <c r="L67" s="2">
        <v>1.6779311111716431</v>
      </c>
      <c r="M67" s="2">
        <v>1.6097404078541959</v>
      </c>
      <c r="N67" s="2"/>
      <c r="O67" s="2"/>
      <c r="P67" s="2"/>
      <c r="Q67" s="2">
        <f t="shared" si="6"/>
        <v>87.351473840510351</v>
      </c>
      <c r="R67" s="2">
        <f t="shared" si="7"/>
        <v>197.85046402410686</v>
      </c>
      <c r="S67" s="2">
        <f t="shared" si="8"/>
        <v>1253.0497933007175</v>
      </c>
      <c r="T67" s="2"/>
      <c r="U67" s="2"/>
      <c r="V67" s="2"/>
      <c r="W67" s="2"/>
      <c r="X67" s="2"/>
      <c r="Y67" s="2"/>
      <c r="Z67" s="2"/>
    </row>
    <row r="68" spans="1:26" x14ac:dyDescent="0.2">
      <c r="A68" s="2">
        <v>9</v>
      </c>
      <c r="B68" s="2">
        <v>260728</v>
      </c>
      <c r="C68" s="2" t="s">
        <v>62</v>
      </c>
      <c r="D68" s="2" t="s">
        <v>60</v>
      </c>
      <c r="E68" s="2" t="s">
        <v>115</v>
      </c>
      <c r="F68" s="2">
        <v>1.3422556043406171</v>
      </c>
      <c r="G68" s="2">
        <v>1.4405030938950241</v>
      </c>
      <c r="H68" s="2">
        <v>1.7667427645379981</v>
      </c>
      <c r="I68" s="2">
        <v>1.8654785869966519</v>
      </c>
      <c r="J68" s="2">
        <v>1.48750461599395</v>
      </c>
      <c r="K68" s="2">
        <v>1.2895823452016391</v>
      </c>
      <c r="L68" s="2">
        <v>1.1431587127145051</v>
      </c>
      <c r="M68" s="2">
        <v>1.0913045961593211</v>
      </c>
      <c r="N68" s="2"/>
      <c r="O68" s="2"/>
      <c r="P68" s="2"/>
      <c r="Q68" s="2">
        <f t="shared" si="6"/>
        <v>41.101698415422646</v>
      </c>
      <c r="R68" s="2">
        <f t="shared" si="7"/>
        <v>107.61870828487612</v>
      </c>
      <c r="S68" s="2">
        <f t="shared" si="8"/>
        <v>591.69433199563014</v>
      </c>
      <c r="T68" s="2"/>
      <c r="U68" s="2"/>
      <c r="V68" s="2"/>
      <c r="W68" s="2"/>
      <c r="X68" s="2"/>
      <c r="Y68" s="2"/>
      <c r="Z68" s="2"/>
    </row>
    <row r="69" spans="1:26" x14ac:dyDescent="0.2">
      <c r="A69" s="2">
        <v>9</v>
      </c>
      <c r="B69" s="2">
        <v>260728</v>
      </c>
      <c r="C69" s="2" t="s">
        <v>64</v>
      </c>
      <c r="D69" s="2" t="s">
        <v>60</v>
      </c>
      <c r="E69" s="2" t="s">
        <v>116</v>
      </c>
      <c r="F69" s="2">
        <v>1.66949638718656</v>
      </c>
      <c r="G69" s="2">
        <v>1.8070081032634711</v>
      </c>
      <c r="H69" s="2">
        <v>2.1178100206086561</v>
      </c>
      <c r="I69" s="2">
        <v>2.1642264928780368</v>
      </c>
      <c r="J69" s="2">
        <v>1.7912615793896629</v>
      </c>
      <c r="K69" s="2">
        <v>1.605344912574181</v>
      </c>
      <c r="L69" s="2">
        <v>1.468727023496849</v>
      </c>
      <c r="M69" s="2">
        <v>1.4681673239606681</v>
      </c>
      <c r="N69" s="2"/>
      <c r="O69" s="2"/>
      <c r="P69" s="2"/>
      <c r="Q69" s="2">
        <f t="shared" si="6"/>
        <v>58.549483193429452</v>
      </c>
      <c r="R69" s="2">
        <f t="shared" si="7"/>
        <v>142.39439688908593</v>
      </c>
      <c r="S69" s="2">
        <f t="shared" si="8"/>
        <v>865.78483375249607</v>
      </c>
      <c r="T69" s="2"/>
      <c r="U69" s="2"/>
      <c r="V69" s="2"/>
      <c r="W69" s="2"/>
      <c r="X69" s="2"/>
      <c r="Y69" s="2"/>
      <c r="Z69" s="2"/>
    </row>
    <row r="70" spans="1:26" x14ac:dyDescent="0.2">
      <c r="A70" s="2">
        <v>9</v>
      </c>
      <c r="B70" s="2">
        <v>260728</v>
      </c>
      <c r="C70" s="2" t="s">
        <v>24</v>
      </c>
      <c r="D70" s="2" t="s">
        <v>60</v>
      </c>
      <c r="E70" s="2" t="s">
        <v>117</v>
      </c>
      <c r="F70" s="2">
        <v>1.4418130911809031</v>
      </c>
      <c r="G70" s="2">
        <v>1.5056197496253281</v>
      </c>
      <c r="H70" s="2">
        <v>1.7890703851896921</v>
      </c>
      <c r="I70" s="2">
        <v>1.7926432419723899</v>
      </c>
      <c r="J70" s="2">
        <v>1.46818789406017</v>
      </c>
      <c r="K70" s="2">
        <v>1.332014346523025</v>
      </c>
      <c r="L70" s="2">
        <v>1.28230163152131</v>
      </c>
      <c r="M70" s="2">
        <v>1.3130484465126699</v>
      </c>
      <c r="N70" s="2"/>
      <c r="O70" s="2"/>
      <c r="P70" s="2"/>
      <c r="Q70" s="2">
        <f t="shared" si="6"/>
        <v>46.160895796890863</v>
      </c>
      <c r="R70" s="2">
        <f t="shared" si="7"/>
        <v>109.72868387194191</v>
      </c>
      <c r="S70" s="2">
        <f t="shared" si="8"/>
        <v>576.00015646886118</v>
      </c>
      <c r="T70" s="2"/>
      <c r="U70" s="2"/>
      <c r="V70" s="2"/>
      <c r="W70" s="2"/>
      <c r="X70" s="2"/>
      <c r="Y70" s="2"/>
      <c r="Z70" s="2"/>
    </row>
    <row r="71" spans="1:26" x14ac:dyDescent="0.2">
      <c r="A71" s="2">
        <v>9</v>
      </c>
      <c r="B71" s="2">
        <v>260728</v>
      </c>
      <c r="C71" s="2" t="s">
        <v>26</v>
      </c>
      <c r="D71" s="2" t="s">
        <v>60</v>
      </c>
      <c r="E71" s="2" t="s">
        <v>118</v>
      </c>
      <c r="F71" s="2">
        <v>1.408885188863616</v>
      </c>
      <c r="G71" s="2">
        <v>1.5044639244662781</v>
      </c>
      <c r="H71" s="2">
        <v>1.773981548056101</v>
      </c>
      <c r="I71" s="2">
        <v>1.809142376633087</v>
      </c>
      <c r="J71" s="2">
        <v>1.466381592740722</v>
      </c>
      <c r="K71" s="2">
        <v>1.3382882439230741</v>
      </c>
      <c r="L71" s="2">
        <v>1.268203960493214</v>
      </c>
      <c r="M71" s="2">
        <v>1.2676053816099171</v>
      </c>
      <c r="N71" s="2"/>
      <c r="O71" s="2"/>
      <c r="P71" s="2"/>
      <c r="Q71" s="2">
        <f t="shared" si="6"/>
        <v>44.462944199467032</v>
      </c>
      <c r="R71" s="2">
        <f t="shared" si="7"/>
        <v>108.30122002737023</v>
      </c>
      <c r="S71" s="2">
        <f t="shared" si="8"/>
        <v>574.54323318161869</v>
      </c>
      <c r="T71" s="2"/>
      <c r="U71" s="2"/>
      <c r="V71" s="2"/>
      <c r="W71" s="2"/>
      <c r="X71" s="2"/>
      <c r="Y71" s="2"/>
      <c r="Z71" s="2"/>
    </row>
    <row r="72" spans="1:26" x14ac:dyDescent="0.2">
      <c r="A72" s="2">
        <v>9</v>
      </c>
      <c r="B72" s="2">
        <v>260728</v>
      </c>
      <c r="C72" s="2" t="s">
        <v>43</v>
      </c>
      <c r="D72" s="2" t="s">
        <v>60</v>
      </c>
      <c r="E72" s="2" t="s">
        <v>119</v>
      </c>
      <c r="F72" s="2">
        <v>1.8692458625060779</v>
      </c>
      <c r="G72" s="2">
        <v>2.104475293554195</v>
      </c>
      <c r="H72" s="2">
        <v>2.3806137611372171</v>
      </c>
      <c r="I72" s="2">
        <v>2.1852075058869191</v>
      </c>
      <c r="J72" s="2">
        <v>1.782660581011525</v>
      </c>
      <c r="K72" s="2">
        <v>1.6265173135718001</v>
      </c>
      <c r="L72" s="2">
        <v>1.5412401426164599</v>
      </c>
      <c r="M72" s="2">
        <v>1.5595498727981101</v>
      </c>
      <c r="N72" s="2"/>
      <c r="O72" s="2"/>
      <c r="P72" s="2"/>
      <c r="Q72" s="2">
        <f t="shared" si="6"/>
        <v>70.31627604120655</v>
      </c>
      <c r="R72" s="2">
        <f t="shared" si="7"/>
        <v>170.56206688630695</v>
      </c>
      <c r="S72" s="2">
        <f t="shared" si="8"/>
        <v>857.31898483800717</v>
      </c>
      <c r="T72" s="2"/>
      <c r="U72" s="2"/>
      <c r="V72" s="2"/>
      <c r="W72" s="2"/>
      <c r="X72" s="2"/>
      <c r="Y72" s="2"/>
      <c r="Z72" s="2"/>
    </row>
    <row r="73" spans="1:26" x14ac:dyDescent="0.2">
      <c r="A73" s="2">
        <v>9</v>
      </c>
      <c r="B73" s="2">
        <v>260728</v>
      </c>
      <c r="C73" s="2" t="s">
        <v>120</v>
      </c>
      <c r="D73" s="2" t="s">
        <v>60</v>
      </c>
      <c r="E73" s="2" t="s">
        <v>121</v>
      </c>
      <c r="F73" s="2">
        <v>2.7948570781097501</v>
      </c>
      <c r="G73" s="2">
        <v>2.9490843219608212</v>
      </c>
      <c r="H73" s="2">
        <v>3.3613712320683562</v>
      </c>
      <c r="I73" s="2">
        <v>3.3459705599035172</v>
      </c>
      <c r="J73" s="2">
        <v>2.8503908052391629</v>
      </c>
      <c r="K73" s="2">
        <v>2.6316467597285169</v>
      </c>
      <c r="L73" s="2">
        <v>2.4261896133608678</v>
      </c>
      <c r="M73" s="2">
        <v>2.3620309035549858</v>
      </c>
      <c r="N73" s="2"/>
      <c r="O73" s="2"/>
      <c r="P73" s="2"/>
      <c r="Q73" s="2">
        <f t="shared" si="6"/>
        <v>134.85042647910913</v>
      </c>
      <c r="R73" s="2">
        <f t="shared" si="7"/>
        <v>290.21773994153926</v>
      </c>
      <c r="S73" s="2">
        <f t="shared" si="8"/>
        <v>2220.1887110401112</v>
      </c>
      <c r="T73" s="2"/>
      <c r="U73" s="2"/>
      <c r="V73" s="2"/>
      <c r="W73" s="2"/>
      <c r="X73" s="2"/>
      <c r="Y73" s="2"/>
      <c r="Z73" s="2"/>
    </row>
    <row r="74" spans="1:26" x14ac:dyDescent="0.2">
      <c r="A74" s="2">
        <v>9</v>
      </c>
      <c r="B74" s="2">
        <v>260728</v>
      </c>
      <c r="C74" s="2" t="s">
        <v>122</v>
      </c>
      <c r="D74" s="2" t="s">
        <v>60</v>
      </c>
      <c r="E74" s="2" t="s">
        <v>123</v>
      </c>
      <c r="F74" s="2">
        <v>3.2592280356058372</v>
      </c>
      <c r="G74" s="2">
        <v>3.6135654243857411</v>
      </c>
      <c r="H74" s="2">
        <v>3.9655355194397881</v>
      </c>
      <c r="I74" s="2">
        <v>3.7469934968097851</v>
      </c>
      <c r="J74" s="2">
        <v>3.2309927935433018</v>
      </c>
      <c r="K74" s="2">
        <v>2.954614745901766</v>
      </c>
      <c r="L74" s="2">
        <v>2.7155730412935819</v>
      </c>
      <c r="M74" s="2">
        <v>2.5884318831660629</v>
      </c>
      <c r="N74" s="2"/>
      <c r="O74" s="2"/>
      <c r="P74" s="2"/>
      <c r="Q74" s="2">
        <f t="shared" si="6"/>
        <v>172.9112495609601</v>
      </c>
      <c r="R74" s="2">
        <f t="shared" si="7"/>
        <v>374.26154734352588</v>
      </c>
      <c r="S74" s="2">
        <f t="shared" si="8"/>
        <v>2857.1726785224728</v>
      </c>
      <c r="T74" s="2"/>
      <c r="U74" s="2"/>
      <c r="V74" s="2"/>
      <c r="W74" s="2"/>
      <c r="X74" s="2"/>
      <c r="Y74" s="2"/>
      <c r="Z74" s="2"/>
    </row>
    <row r="75" spans="1:26" x14ac:dyDescent="0.2">
      <c r="A75" s="2">
        <v>9</v>
      </c>
      <c r="B75" s="2">
        <v>260728</v>
      </c>
      <c r="C75" s="2" t="s">
        <v>34</v>
      </c>
      <c r="D75" s="2" t="s">
        <v>60</v>
      </c>
      <c r="E75" s="2" t="s">
        <v>124</v>
      </c>
      <c r="F75" s="2">
        <v>2.9470138452492649</v>
      </c>
      <c r="G75" s="2">
        <v>3.1413596929135781</v>
      </c>
      <c r="H75" s="2">
        <v>3.5731857702834509</v>
      </c>
      <c r="I75" s="2">
        <v>3.4825600060161062</v>
      </c>
      <c r="J75" s="2">
        <v>2.974042418640118</v>
      </c>
      <c r="K75" s="2">
        <v>2.7458986712784901</v>
      </c>
      <c r="L75" s="2">
        <v>2.5390306024286482</v>
      </c>
      <c r="M75" s="2">
        <v>2.469972837218541</v>
      </c>
      <c r="N75" s="2"/>
      <c r="O75" s="2"/>
      <c r="P75" s="2"/>
      <c r="Q75" s="2">
        <f t="shared" si="6"/>
        <v>146.92456460567612</v>
      </c>
      <c r="R75" s="2">
        <f t="shared" si="7"/>
        <v>318.83624051661712</v>
      </c>
      <c r="S75" s="2">
        <f t="shared" si="8"/>
        <v>2418.4576447334334</v>
      </c>
      <c r="T75" s="2"/>
      <c r="U75" s="2"/>
      <c r="V75" s="2"/>
      <c r="W75" s="2"/>
      <c r="X75" s="2"/>
      <c r="Y75" s="2"/>
      <c r="Z75" s="2"/>
    </row>
    <row r="76" spans="1:26" x14ac:dyDescent="0.2">
      <c r="A76" s="2">
        <v>10</v>
      </c>
      <c r="B76" s="2">
        <v>260805</v>
      </c>
      <c r="C76" s="2" t="s">
        <v>45</v>
      </c>
      <c r="D76" s="2" t="s">
        <v>60</v>
      </c>
      <c r="E76" s="2" t="s">
        <v>125</v>
      </c>
      <c r="F76" s="2">
        <v>1.5478167054369569</v>
      </c>
      <c r="G76" s="2">
        <v>1.646353832177601</v>
      </c>
      <c r="H76" s="2">
        <v>1.3539434970544011</v>
      </c>
      <c r="I76" s="2">
        <v>1.074271796251236</v>
      </c>
      <c r="J76" s="2">
        <v>0.83847661603819434</v>
      </c>
      <c r="K76" s="2">
        <v>0.83167616916411891</v>
      </c>
      <c r="L76" s="2">
        <v>0.88117769887072106</v>
      </c>
      <c r="M76" s="2">
        <v>1.0254250977662811</v>
      </c>
      <c r="N76" s="2">
        <v>6.77</v>
      </c>
      <c r="O76" s="2"/>
      <c r="P76" s="2"/>
      <c r="Q76" s="2">
        <f t="shared" si="6"/>
        <v>51.789534439862578</v>
      </c>
      <c r="R76" s="2">
        <f t="shared" si="7"/>
        <v>71.276585345998171</v>
      </c>
      <c r="S76" s="2">
        <f t="shared" si="8"/>
        <v>178.82972699019408</v>
      </c>
      <c r="T76" s="2"/>
      <c r="U76" s="2"/>
      <c r="V76" s="2"/>
      <c r="W76" s="2"/>
      <c r="X76" s="2"/>
      <c r="Y76" s="2"/>
      <c r="Z76" s="2"/>
    </row>
    <row r="77" spans="1:26" x14ac:dyDescent="0.2">
      <c r="A77" s="2">
        <v>10</v>
      </c>
      <c r="B77" s="2">
        <v>260805</v>
      </c>
      <c r="C77" s="2" t="s">
        <v>47</v>
      </c>
      <c r="D77" s="2" t="s">
        <v>60</v>
      </c>
      <c r="E77" s="2" t="s">
        <v>126</v>
      </c>
      <c r="F77" s="2">
        <v>1.261637555737446</v>
      </c>
      <c r="G77" s="2">
        <v>1.489323826101614</v>
      </c>
      <c r="H77" s="2">
        <v>1.3968850936285271</v>
      </c>
      <c r="I77" s="2">
        <v>1.14961056403418</v>
      </c>
      <c r="J77" s="2">
        <v>0.942217502021506</v>
      </c>
      <c r="K77" s="2">
        <v>0.91824342096429812</v>
      </c>
      <c r="L77" s="2">
        <v>0.98081628115237651</v>
      </c>
      <c r="M77" s="2">
        <v>1.0915401999624921</v>
      </c>
      <c r="N77" s="2">
        <v>6.25</v>
      </c>
      <c r="O77" s="2"/>
      <c r="P77" s="2"/>
      <c r="Q77" s="2">
        <f t="shared" si="6"/>
        <v>37.170514327269707</v>
      </c>
      <c r="R77" s="2">
        <f t="shared" si="7"/>
        <v>74.811738867909796</v>
      </c>
      <c r="S77" s="2">
        <f t="shared" si="8"/>
        <v>228.91185819889498</v>
      </c>
      <c r="T77" s="2"/>
      <c r="U77" s="2"/>
      <c r="V77" s="2"/>
      <c r="W77" s="2"/>
      <c r="X77" s="2"/>
      <c r="Y77" s="2"/>
      <c r="Z77" s="2"/>
    </row>
    <row r="78" spans="1:26" x14ac:dyDescent="0.2">
      <c r="A78" s="2">
        <v>10</v>
      </c>
      <c r="B78" s="2">
        <v>260805</v>
      </c>
      <c r="C78" s="2" t="s">
        <v>49</v>
      </c>
      <c r="D78" s="2" t="s">
        <v>60</v>
      </c>
      <c r="E78" s="2" t="s">
        <v>127</v>
      </c>
      <c r="F78" s="2">
        <v>1.6684970409430691</v>
      </c>
      <c r="G78" s="2">
        <v>1.9718496955817679</v>
      </c>
      <c r="H78" s="2">
        <v>2.1511043288932621</v>
      </c>
      <c r="I78" s="2">
        <v>1.851182336450774</v>
      </c>
      <c r="J78" s="2">
        <v>1.485867776435291</v>
      </c>
      <c r="K78" s="2">
        <v>1.363274373077658</v>
      </c>
      <c r="L78" s="2">
        <v>1.3427104128040279</v>
      </c>
      <c r="M78" s="2">
        <v>1.4189077232370391</v>
      </c>
      <c r="N78" s="2">
        <v>10.51</v>
      </c>
      <c r="O78" s="2"/>
      <c r="P78" s="2"/>
      <c r="Q78" s="2">
        <f t="shared" si="6"/>
        <v>58.492686948753345</v>
      </c>
      <c r="R78" s="2">
        <f t="shared" si="7"/>
        <v>145.86470192316665</v>
      </c>
      <c r="S78" s="2">
        <f t="shared" si="8"/>
        <v>590.35639075893891</v>
      </c>
      <c r="T78" s="2"/>
      <c r="U78" s="2"/>
      <c r="V78" s="2"/>
      <c r="W78" s="2"/>
      <c r="X78" s="2"/>
      <c r="Y78" s="2"/>
      <c r="Z78" s="2"/>
    </row>
    <row r="79" spans="1:26" x14ac:dyDescent="0.2">
      <c r="A79" s="2">
        <v>10</v>
      </c>
      <c r="B79" s="2">
        <v>260805</v>
      </c>
      <c r="C79" s="2" t="s">
        <v>51</v>
      </c>
      <c r="D79" s="2" t="s">
        <v>60</v>
      </c>
      <c r="E79" s="2" t="s">
        <v>128</v>
      </c>
      <c r="F79" s="2">
        <v>1.813569022684993</v>
      </c>
      <c r="G79" s="2">
        <v>1.9419189004593569</v>
      </c>
      <c r="H79" s="2">
        <v>2.2661546258497509</v>
      </c>
      <c r="I79" s="2">
        <v>2.2057004668937141</v>
      </c>
      <c r="J79" s="2">
        <v>1.7880548571386681</v>
      </c>
      <c r="K79" s="2">
        <v>1.619110431944242</v>
      </c>
      <c r="L79" s="2">
        <v>1.4945018066931359</v>
      </c>
      <c r="M79" s="2">
        <v>1.48793718043737</v>
      </c>
      <c r="N79" s="2">
        <v>6.83</v>
      </c>
      <c r="O79" s="2"/>
      <c r="P79" s="2"/>
      <c r="Q79" s="2">
        <f t="shared" si="6"/>
        <v>66.954475723001707</v>
      </c>
      <c r="R79" s="2">
        <f t="shared" si="7"/>
        <v>158.07768596185946</v>
      </c>
      <c r="S79" s="2">
        <f t="shared" si="8"/>
        <v>862.62370463325476</v>
      </c>
      <c r="T79" s="2"/>
      <c r="U79" s="2"/>
      <c r="V79" s="2"/>
      <c r="W79" s="2"/>
      <c r="X79" s="2"/>
      <c r="Y79" s="2"/>
      <c r="Z79" s="2"/>
    </row>
    <row r="80" spans="1:26" x14ac:dyDescent="0.2">
      <c r="A80" s="2">
        <v>10</v>
      </c>
      <c r="B80" s="2">
        <v>260805</v>
      </c>
      <c r="C80" s="2" t="s">
        <v>53</v>
      </c>
      <c r="D80" s="2" t="s">
        <v>60</v>
      </c>
      <c r="E80" s="2" t="s">
        <v>129</v>
      </c>
      <c r="F80" s="2">
        <v>2.23515313369492</v>
      </c>
      <c r="G80" s="2">
        <v>2.230230548516869</v>
      </c>
      <c r="H80" s="2">
        <v>2.6172502890605518</v>
      </c>
      <c r="I80" s="2">
        <v>2.880869671319406</v>
      </c>
      <c r="J80" s="2">
        <v>2.459101429339575</v>
      </c>
      <c r="K80" s="2">
        <v>2.1949291824879911</v>
      </c>
      <c r="L80" s="2">
        <v>1.899761642286016</v>
      </c>
      <c r="M80" s="2">
        <v>1.758883308413824</v>
      </c>
      <c r="N80" s="2">
        <v>9.2100000000000009</v>
      </c>
      <c r="O80" s="2"/>
      <c r="P80" s="2"/>
      <c r="Q80" s="2">
        <f t="shared" si="6"/>
        <v>93.927271674806661</v>
      </c>
      <c r="R80" s="2">
        <f t="shared" si="7"/>
        <v>197.39711410976705</v>
      </c>
      <c r="S80" s="2">
        <f t="shared" si="8"/>
        <v>1647.9437986321047</v>
      </c>
      <c r="T80" s="2"/>
      <c r="U80" s="2"/>
      <c r="V80" s="2"/>
      <c r="W80" s="2"/>
      <c r="X80" s="2"/>
      <c r="Y80" s="2"/>
      <c r="Z80" s="2"/>
    </row>
    <row r="81" spans="1:26" x14ac:dyDescent="0.2">
      <c r="A81" s="2">
        <v>10</v>
      </c>
      <c r="B81" s="2">
        <v>260805</v>
      </c>
      <c r="C81" s="2" t="s">
        <v>120</v>
      </c>
      <c r="D81" s="2" t="s">
        <v>60</v>
      </c>
      <c r="E81" s="2" t="s">
        <v>130</v>
      </c>
      <c r="F81" s="2">
        <v>3.0149830548455019</v>
      </c>
      <c r="G81" s="2">
        <v>2.9688578538755759</v>
      </c>
      <c r="H81" s="2">
        <v>3.4731900419872992</v>
      </c>
      <c r="I81" s="2">
        <v>3.814224072245965</v>
      </c>
      <c r="J81" s="2">
        <v>3.3968826886252441</v>
      </c>
      <c r="K81" s="2">
        <v>3.0831253714774531</v>
      </c>
      <c r="L81" s="2">
        <v>2.588194657289892</v>
      </c>
      <c r="M81" s="2">
        <v>2.3005826815205608</v>
      </c>
      <c r="N81" s="2">
        <v>2.75</v>
      </c>
      <c r="O81" s="2"/>
      <c r="P81" s="2"/>
      <c r="Q81" s="2">
        <f t="shared" si="6"/>
        <v>152.44447795375694</v>
      </c>
      <c r="R81" s="2">
        <f t="shared" si="7"/>
        <v>305.20935012091769</v>
      </c>
      <c r="S81" s="2">
        <f t="shared" si="8"/>
        <v>3159.5370841573126</v>
      </c>
      <c r="T81" s="2"/>
      <c r="U81" s="2"/>
      <c r="V81" s="2"/>
      <c r="W81" s="2"/>
      <c r="X81" s="2"/>
      <c r="Y81" s="2"/>
      <c r="Z81" s="2"/>
    </row>
    <row r="82" spans="1:26" x14ac:dyDescent="0.2">
      <c r="A82" s="2">
        <v>10</v>
      </c>
      <c r="B82" s="2">
        <v>260805</v>
      </c>
      <c r="C82" s="2" t="s">
        <v>122</v>
      </c>
      <c r="D82" s="2" t="s">
        <v>60</v>
      </c>
      <c r="E82" s="2" t="s">
        <v>131</v>
      </c>
      <c r="F82" s="2">
        <v>2.976689398334464</v>
      </c>
      <c r="G82" s="2">
        <v>3.0197834403814259</v>
      </c>
      <c r="H82" s="2">
        <v>3.4572241000713348</v>
      </c>
      <c r="I82" s="2">
        <v>3.7582964133231509</v>
      </c>
      <c r="J82" s="2">
        <v>3.4211403931105768</v>
      </c>
      <c r="K82" s="2">
        <v>3.1197848004487332</v>
      </c>
      <c r="L82" s="2">
        <v>2.673032985277684</v>
      </c>
      <c r="M82" s="2">
        <v>2.4567204196661092</v>
      </c>
      <c r="N82" s="2">
        <v>2.75</v>
      </c>
      <c r="O82" s="2"/>
      <c r="P82" s="2"/>
      <c r="Q82" s="2">
        <f t="shared" si="6"/>
        <v>149.32505610673343</v>
      </c>
      <c r="R82" s="2">
        <f t="shared" si="7"/>
        <v>303.05277843126913</v>
      </c>
      <c r="S82" s="2">
        <f t="shared" si="8"/>
        <v>3205.0071577335816</v>
      </c>
      <c r="T82" s="2"/>
      <c r="U82" s="2"/>
      <c r="V82" s="2"/>
      <c r="W82" s="2"/>
      <c r="X82" s="2"/>
      <c r="Y82" s="2"/>
      <c r="Z82" s="2"/>
    </row>
    <row r="83" spans="1:26" x14ac:dyDescent="0.2">
      <c r="A83" s="2">
        <v>10</v>
      </c>
      <c r="B83" s="2">
        <v>260805</v>
      </c>
      <c r="C83" s="2" t="s">
        <v>34</v>
      </c>
      <c r="D83" s="2" t="s">
        <v>60</v>
      </c>
      <c r="E83" s="2" t="s">
        <v>132</v>
      </c>
      <c r="F83" s="2">
        <v>2.4060659110122291</v>
      </c>
      <c r="G83" s="2">
        <v>2.397884859820127</v>
      </c>
      <c r="H83" s="2">
        <v>2.8654821526518588</v>
      </c>
      <c r="I83" s="2">
        <v>3.1573532521602461</v>
      </c>
      <c r="J83" s="2">
        <v>2.6864292821565039</v>
      </c>
      <c r="K83" s="2">
        <v>2.388497563850986</v>
      </c>
      <c r="L83" s="2">
        <v>2.0036001961220431</v>
      </c>
      <c r="M83" s="2">
        <v>1.77243822160422</v>
      </c>
      <c r="N83" s="2">
        <v>5.84</v>
      </c>
      <c r="O83" s="2"/>
      <c r="P83" s="2"/>
      <c r="Q83" s="2">
        <f t="shared" si="6"/>
        <v>105.82553855350965</v>
      </c>
      <c r="R83" s="2">
        <f t="shared" si="7"/>
        <v>226.97698805584045</v>
      </c>
      <c r="S83" s="2">
        <f t="shared" si="8"/>
        <v>1970.1863424057005</v>
      </c>
      <c r="T83" s="2"/>
      <c r="U83" s="2"/>
      <c r="V83" s="2"/>
      <c r="W83" s="2"/>
      <c r="X83" s="2"/>
      <c r="Y83" s="2"/>
      <c r="Z83" s="2"/>
    </row>
    <row r="84" spans="1:26" x14ac:dyDescent="0.2">
      <c r="A84" s="2">
        <v>10</v>
      </c>
      <c r="B84" s="2">
        <v>260805</v>
      </c>
      <c r="C84" s="2" t="s">
        <v>85</v>
      </c>
      <c r="D84" s="2" t="s">
        <v>60</v>
      </c>
      <c r="E84" s="2" t="s">
        <v>133</v>
      </c>
      <c r="F84" s="2">
        <v>1.7448233430289171</v>
      </c>
      <c r="G84" s="2">
        <v>1.762545820420671</v>
      </c>
      <c r="H84" s="2">
        <v>2.0714741399822638</v>
      </c>
      <c r="I84" s="2">
        <v>2.159408289447553</v>
      </c>
      <c r="J84" s="2">
        <v>1.7897002916809279</v>
      </c>
      <c r="K84" s="2">
        <v>1.6256429619746251</v>
      </c>
      <c r="L84" s="2">
        <v>1.430282084371951</v>
      </c>
      <c r="M84" s="2">
        <v>1.3871942583510659</v>
      </c>
      <c r="N84" s="2">
        <v>8.9499999999999993</v>
      </c>
      <c r="O84" s="2"/>
      <c r="P84" s="2"/>
      <c r="Q84" s="2">
        <f t="shared" si="6"/>
        <v>62.89053043375214</v>
      </c>
      <c r="R84" s="2">
        <f t="shared" si="7"/>
        <v>137.6132499235415</v>
      </c>
      <c r="S84" s="2">
        <f t="shared" si="8"/>
        <v>864.24503233477878</v>
      </c>
      <c r="T84" s="2"/>
      <c r="U84" s="2"/>
      <c r="V84" s="2"/>
      <c r="W84" s="2"/>
      <c r="X84" s="2"/>
      <c r="Y84" s="2"/>
      <c r="Z84" s="2"/>
    </row>
    <row r="85" spans="1:26" x14ac:dyDescent="0.2">
      <c r="A85" s="2">
        <v>11</v>
      </c>
      <c r="B85" s="2">
        <v>260811</v>
      </c>
      <c r="C85" s="2" t="s">
        <v>36</v>
      </c>
      <c r="D85" s="2" t="s">
        <v>60</v>
      </c>
      <c r="E85" s="2" t="s">
        <v>134</v>
      </c>
      <c r="F85" s="2">
        <v>1.932388375597663</v>
      </c>
      <c r="G85" s="2">
        <v>1.9851613377247761</v>
      </c>
      <c r="H85" s="2">
        <v>2.2846627621382818</v>
      </c>
      <c r="I85" s="2">
        <v>2.4681964993555372</v>
      </c>
      <c r="J85" s="2">
        <v>2.0939821495150182</v>
      </c>
      <c r="K85" s="2">
        <v>1.906223941396066</v>
      </c>
      <c r="L85" s="2">
        <v>1.719908557377211</v>
      </c>
      <c r="M85" s="2">
        <v>1.6560022731991451</v>
      </c>
      <c r="N85" s="2">
        <v>6.71</v>
      </c>
      <c r="O85" s="2"/>
      <c r="P85" s="2"/>
      <c r="Q85" s="2">
        <f t="shared" si="6"/>
        <v>74.204132037481429</v>
      </c>
      <c r="R85" s="2">
        <f t="shared" si="7"/>
        <v>160.07404011451581</v>
      </c>
      <c r="S85" s="2">
        <f t="shared" si="8"/>
        <v>1189.8313189871531</v>
      </c>
      <c r="T85" s="2"/>
      <c r="U85" s="2"/>
      <c r="V85" s="2"/>
      <c r="W85" s="2"/>
      <c r="X85" s="2"/>
      <c r="Y85" s="2"/>
      <c r="Z85" s="2"/>
    </row>
    <row r="86" spans="1:26" x14ac:dyDescent="0.2">
      <c r="A86" s="2">
        <v>11</v>
      </c>
      <c r="B86" s="2">
        <v>260811</v>
      </c>
      <c r="C86" s="2" t="s">
        <v>19</v>
      </c>
      <c r="D86" s="2" t="s">
        <v>60</v>
      </c>
      <c r="E86" s="2" t="s">
        <v>135</v>
      </c>
      <c r="F86" s="2">
        <v>1.4040936293991351</v>
      </c>
      <c r="G86" s="2">
        <v>1.5986364403193349</v>
      </c>
      <c r="H86" s="2">
        <v>1.961324743892622</v>
      </c>
      <c r="I86" s="2">
        <v>2.0205733761564959</v>
      </c>
      <c r="J86" s="2">
        <v>1.5313602530451911</v>
      </c>
      <c r="K86" s="2">
        <v>1.2856468723825689</v>
      </c>
      <c r="L86" s="2">
        <v>1.105917005070399</v>
      </c>
      <c r="M86" s="2">
        <v>1.0444935414468091</v>
      </c>
      <c r="N86" s="2">
        <v>15.14</v>
      </c>
      <c r="O86" s="2"/>
      <c r="P86" s="2"/>
      <c r="Q86" s="2">
        <f t="shared" si="6"/>
        <v>44.217883657958303</v>
      </c>
      <c r="R86" s="2">
        <f t="shared" si="7"/>
        <v>126.4773776937061</v>
      </c>
      <c r="S86" s="2">
        <f t="shared" si="8"/>
        <v>628.09741741087691</v>
      </c>
      <c r="T86" s="2"/>
      <c r="U86" s="2"/>
      <c r="V86" s="2"/>
      <c r="W86" s="2"/>
      <c r="X86" s="2"/>
      <c r="Y86" s="2"/>
      <c r="Z86" s="2"/>
    </row>
    <row r="87" spans="1:26" x14ac:dyDescent="0.2">
      <c r="A87" s="2">
        <v>11</v>
      </c>
      <c r="B87" s="2">
        <v>260811</v>
      </c>
      <c r="C87" s="2" t="s">
        <v>22</v>
      </c>
      <c r="D87" s="2" t="s">
        <v>60</v>
      </c>
      <c r="E87" s="2" t="s">
        <v>136</v>
      </c>
      <c r="F87" s="2">
        <v>1.3984689699208761</v>
      </c>
      <c r="G87" s="2">
        <v>1.585078838628146</v>
      </c>
      <c r="H87" s="2">
        <v>1.98426871241806</v>
      </c>
      <c r="I87" s="2">
        <v>1.9943999338822651</v>
      </c>
      <c r="J87" s="2">
        <v>1.5078774839156599</v>
      </c>
      <c r="K87" s="2">
        <v>1.2622931074567609</v>
      </c>
      <c r="L87" s="2">
        <v>1.081389928407376</v>
      </c>
      <c r="M87" s="2">
        <v>0.98518889981467905</v>
      </c>
      <c r="N87" s="2">
        <v>4.28</v>
      </c>
      <c r="O87" s="2"/>
      <c r="P87" s="2"/>
      <c r="Q87" s="2">
        <f t="shared" si="6"/>
        <v>43.930872211074131</v>
      </c>
      <c r="R87" s="2">
        <f t="shared" si="7"/>
        <v>128.77000756654337</v>
      </c>
      <c r="S87" s="2">
        <f t="shared" si="8"/>
        <v>608.47190594658559</v>
      </c>
      <c r="T87" s="2"/>
      <c r="U87" s="2"/>
      <c r="V87" s="2"/>
      <c r="W87" s="2"/>
      <c r="X87" s="2"/>
      <c r="Y87" s="2"/>
      <c r="Z87" s="2"/>
    </row>
    <row r="88" spans="1:26" x14ac:dyDescent="0.2">
      <c r="A88" s="2">
        <v>11</v>
      </c>
      <c r="B88" s="2">
        <v>260811</v>
      </c>
      <c r="C88" s="2" t="s">
        <v>26</v>
      </c>
      <c r="D88" s="2" t="s">
        <v>20</v>
      </c>
      <c r="E88" s="2" t="s">
        <v>137</v>
      </c>
      <c r="F88" s="2">
        <v>2.6435464406365949</v>
      </c>
      <c r="G88" s="2">
        <v>2.74216093794139</v>
      </c>
      <c r="H88" s="2">
        <v>2.9732586021854051</v>
      </c>
      <c r="I88" s="2">
        <v>3.343423464452179</v>
      </c>
      <c r="J88" s="2">
        <v>3.254346368876027</v>
      </c>
      <c r="K88" s="2">
        <v>2.9061602120746302</v>
      </c>
      <c r="L88" s="2">
        <v>2.453819207236335</v>
      </c>
      <c r="M88" s="2">
        <v>2.1919263472685171</v>
      </c>
      <c r="N88" s="2">
        <v>2.5099999999999998</v>
      </c>
      <c r="O88" s="2"/>
      <c r="P88" s="2"/>
      <c r="Q88" s="2">
        <f t="shared" si="6"/>
        <v>123.23775060755712</v>
      </c>
      <c r="R88" s="2">
        <f t="shared" si="7"/>
        <v>240.26025288150095</v>
      </c>
      <c r="S88" s="2">
        <f t="shared" si="8"/>
        <v>2898.8319526743112</v>
      </c>
      <c r="T88" s="2"/>
      <c r="U88" s="2"/>
      <c r="V88" s="2"/>
      <c r="W88" s="2"/>
      <c r="X88" s="2"/>
      <c r="Y88" s="2"/>
      <c r="Z88" s="2"/>
    </row>
    <row r="89" spans="1:26" x14ac:dyDescent="0.2">
      <c r="A89" s="2">
        <v>11</v>
      </c>
      <c r="B89" s="2">
        <v>260811</v>
      </c>
      <c r="C89" s="2" t="s">
        <v>43</v>
      </c>
      <c r="D89" s="2" t="s">
        <v>20</v>
      </c>
      <c r="E89" s="2" t="s">
        <v>138</v>
      </c>
      <c r="F89" s="2">
        <v>3.5929388862105651</v>
      </c>
      <c r="G89" s="2">
        <v>3.6408241372137322</v>
      </c>
      <c r="H89" s="2">
        <v>3.8724477982661192</v>
      </c>
      <c r="I89" s="2">
        <v>4.2962708460546706</v>
      </c>
      <c r="J89" s="2">
        <v>4.0899789225062726</v>
      </c>
      <c r="K89" s="2">
        <v>3.755167257069977</v>
      </c>
      <c r="L89" s="2">
        <v>3.259744630372083</v>
      </c>
      <c r="M89" s="2">
        <v>2.925788837979352</v>
      </c>
      <c r="N89" s="2">
        <v>2.4700000000000002</v>
      </c>
      <c r="O89" s="2"/>
      <c r="P89" s="2"/>
      <c r="Q89" s="2">
        <f t="shared" si="6"/>
        <v>202.43021956140672</v>
      </c>
      <c r="R89" s="2">
        <f t="shared" si="7"/>
        <v>360.83387053532431</v>
      </c>
      <c r="S89" s="2">
        <f t="shared" si="8"/>
        <v>4584.6616017657989</v>
      </c>
      <c r="T89" s="2"/>
      <c r="U89" s="2"/>
      <c r="V89" s="2"/>
      <c r="W89" s="2"/>
      <c r="X89" s="2"/>
      <c r="Y89" s="2"/>
      <c r="Z89" s="2"/>
    </row>
    <row r="90" spans="1:26" x14ac:dyDescent="0.2">
      <c r="A90" s="2">
        <v>12</v>
      </c>
      <c r="B90" s="2">
        <v>260814</v>
      </c>
      <c r="C90" s="2" t="s">
        <v>45</v>
      </c>
      <c r="D90" s="2" t="s">
        <v>20</v>
      </c>
      <c r="E90" s="2" t="s">
        <v>139</v>
      </c>
      <c r="F90" s="2">
        <v>0.91757388068197132</v>
      </c>
      <c r="G90" s="2">
        <v>1.037538000590688</v>
      </c>
      <c r="H90" s="2">
        <v>0.90526962108691056</v>
      </c>
      <c r="I90" s="2">
        <v>0.75908302354726209</v>
      </c>
      <c r="J90" s="2">
        <v>0.65744999438126883</v>
      </c>
      <c r="K90" s="2">
        <v>0.67625551388759919</v>
      </c>
      <c r="L90" s="2">
        <v>0.79296271414125852</v>
      </c>
      <c r="M90" s="2">
        <v>0.96810606723921477</v>
      </c>
      <c r="N90" s="2"/>
      <c r="O90" s="2"/>
      <c r="P90" s="2"/>
      <c r="Q90" s="2">
        <f t="shared" si="6"/>
        <v>22.153626756341666</v>
      </c>
      <c r="R90" s="2">
        <f t="shared" si="7"/>
        <v>38.113502155838333</v>
      </c>
      <c r="S90" s="2">
        <f t="shared" si="8"/>
        <v>106.05932190123823</v>
      </c>
      <c r="T90" s="2"/>
      <c r="U90" s="2"/>
      <c r="V90" s="2"/>
      <c r="W90" s="2"/>
      <c r="X90" s="2"/>
      <c r="Y90" s="2"/>
      <c r="Z90" s="2"/>
    </row>
    <row r="91" spans="1:26" x14ac:dyDescent="0.2">
      <c r="A91" s="2">
        <v>12</v>
      </c>
      <c r="B91" s="2">
        <v>260814</v>
      </c>
      <c r="C91" s="2" t="s">
        <v>47</v>
      </c>
      <c r="D91" s="2" t="s">
        <v>20</v>
      </c>
      <c r="E91" s="2" t="s">
        <v>140</v>
      </c>
      <c r="F91" s="2">
        <v>0.58099456447861819</v>
      </c>
      <c r="G91" s="2">
        <v>0.66876550880257635</v>
      </c>
      <c r="H91" s="2">
        <v>0.49340023964273988</v>
      </c>
      <c r="I91" s="2">
        <v>0.35102500268318459</v>
      </c>
      <c r="J91" s="2">
        <v>0.19904807204353439</v>
      </c>
      <c r="K91" s="2">
        <v>0.20476842909170001</v>
      </c>
      <c r="L91" s="2">
        <v>0.30579518480399492</v>
      </c>
      <c r="M91" s="2">
        <v>0.40701429380639981</v>
      </c>
      <c r="N91" s="2"/>
      <c r="O91" s="2"/>
      <c r="P91" s="2"/>
      <c r="Q91" s="2">
        <f t="shared" si="6"/>
        <v>10.513197045995096</v>
      </c>
      <c r="R91" s="2">
        <f t="shared" si="7"/>
        <v>14.686580391582309</v>
      </c>
      <c r="S91" s="2">
        <f t="shared" si="8"/>
        <v>5.9463119127682109</v>
      </c>
      <c r="T91" s="2"/>
      <c r="U91" s="2"/>
      <c r="V91" s="2"/>
      <c r="W91" s="2"/>
      <c r="X91" s="2"/>
      <c r="Y91" s="2"/>
      <c r="Z91" s="2"/>
    </row>
    <row r="92" spans="1:26" x14ac:dyDescent="0.2">
      <c r="A92" s="2">
        <v>12</v>
      </c>
      <c r="B92" s="2">
        <v>260814</v>
      </c>
      <c r="C92" s="2" t="s">
        <v>49</v>
      </c>
      <c r="D92" s="2" t="s">
        <v>20</v>
      </c>
      <c r="E92" s="2" t="s">
        <v>141</v>
      </c>
      <c r="F92" s="2">
        <v>1.0533704585238099</v>
      </c>
      <c r="G92" s="2">
        <v>1.1914035104407481</v>
      </c>
      <c r="H92" s="2">
        <v>1.2602539953547409</v>
      </c>
      <c r="I92" s="2">
        <v>1.1431043380836721</v>
      </c>
      <c r="J92" s="2">
        <v>0.93527496270405963</v>
      </c>
      <c r="K92" s="2">
        <v>0.89365151576454971</v>
      </c>
      <c r="L92" s="2">
        <v>0.95924984187771933</v>
      </c>
      <c r="M92" s="2">
        <v>1.0508513111150359</v>
      </c>
      <c r="N92" s="2"/>
      <c r="O92" s="2"/>
      <c r="P92" s="2"/>
      <c r="Q92" s="2">
        <f t="shared" si="6"/>
        <v>27.728406581249146</v>
      </c>
      <c r="R92" s="2">
        <f t="shared" si="7"/>
        <v>63.772600370802166</v>
      </c>
      <c r="S92" s="2">
        <f t="shared" si="8"/>
        <v>225.37027011527181</v>
      </c>
      <c r="T92" s="2"/>
      <c r="U92" s="2"/>
      <c r="V92" s="2"/>
      <c r="W92" s="2"/>
      <c r="X92" s="2"/>
      <c r="Y92" s="2"/>
      <c r="Z92" s="2"/>
    </row>
    <row r="93" spans="1:26" x14ac:dyDescent="0.2">
      <c r="A93" s="2">
        <v>12</v>
      </c>
      <c r="B93" s="2">
        <v>260814</v>
      </c>
      <c r="C93" s="2" t="s">
        <v>51</v>
      </c>
      <c r="D93" s="2" t="s">
        <v>20</v>
      </c>
      <c r="E93" s="2" t="s">
        <v>142</v>
      </c>
      <c r="F93" s="2">
        <v>2.033798521543702</v>
      </c>
      <c r="G93" s="2">
        <v>2.1600054741881149</v>
      </c>
      <c r="H93" s="2">
        <v>2.3460131026252542</v>
      </c>
      <c r="I93" s="2">
        <v>2.4147794302068362</v>
      </c>
      <c r="J93" s="2">
        <v>2.079903713429148</v>
      </c>
      <c r="K93" s="2">
        <v>1.904795362181263</v>
      </c>
      <c r="L93" s="2">
        <v>1.840999573247486</v>
      </c>
      <c r="M93" s="2">
        <v>1.880925052601093</v>
      </c>
      <c r="N93" s="2"/>
      <c r="O93" s="2"/>
      <c r="P93" s="2"/>
      <c r="Q93" s="2">
        <f t="shared" si="6"/>
        <v>80.61317832556179</v>
      </c>
      <c r="R93" s="2">
        <f t="shared" si="7"/>
        <v>166.75339725024625</v>
      </c>
      <c r="S93" s="2">
        <f t="shared" si="8"/>
        <v>1173.6380903832699</v>
      </c>
      <c r="T93" s="2"/>
      <c r="U93" s="2"/>
      <c r="V93" s="2"/>
      <c r="W93" s="2"/>
      <c r="X93" s="2"/>
      <c r="Y93" s="2"/>
      <c r="Z93" s="2"/>
    </row>
    <row r="94" spans="1:26" x14ac:dyDescent="0.2">
      <c r="A94" s="2">
        <v>12</v>
      </c>
      <c r="B94" s="2">
        <v>260814</v>
      </c>
      <c r="C94" s="2" t="s">
        <v>53</v>
      </c>
      <c r="D94" s="2" t="s">
        <v>20</v>
      </c>
      <c r="E94" s="2" t="s">
        <v>143</v>
      </c>
      <c r="F94" s="2">
        <v>2.34413113940083</v>
      </c>
      <c r="G94" s="2">
        <v>2.465762701288476</v>
      </c>
      <c r="H94" s="2">
        <v>2.6521978314975518</v>
      </c>
      <c r="I94" s="2">
        <v>2.8110348180375029</v>
      </c>
      <c r="J94" s="2">
        <v>2.496063744277075</v>
      </c>
      <c r="K94" s="2">
        <v>2.272732615875479</v>
      </c>
      <c r="L94" s="2">
        <v>2.122261400643878</v>
      </c>
      <c r="M94" s="2">
        <v>2.099432611458969</v>
      </c>
      <c r="N94" s="2"/>
      <c r="O94" s="2"/>
      <c r="P94" s="2"/>
      <c r="Q94" s="2">
        <f t="shared" si="6"/>
        <v>101.45167138907499</v>
      </c>
      <c r="R94" s="2">
        <f t="shared" si="7"/>
        <v>201.47442782473428</v>
      </c>
      <c r="S94" s="2">
        <f t="shared" si="8"/>
        <v>1698.4078630040233</v>
      </c>
      <c r="T94" s="2"/>
      <c r="U94" s="2"/>
      <c r="V94" s="2"/>
      <c r="W94" s="2"/>
      <c r="X94" s="2"/>
      <c r="Y94" s="2"/>
      <c r="Z94" s="2"/>
    </row>
    <row r="95" spans="1:26" x14ac:dyDescent="0.2">
      <c r="A95" s="2">
        <v>12</v>
      </c>
      <c r="B95" s="2">
        <v>260814</v>
      </c>
      <c r="C95" s="2" t="s">
        <v>85</v>
      </c>
      <c r="D95" s="2" t="s">
        <v>20</v>
      </c>
      <c r="E95" s="2" t="s">
        <v>144</v>
      </c>
      <c r="F95" s="2">
        <v>1.713864786582191</v>
      </c>
      <c r="G95" s="2">
        <v>1.8424822167254551</v>
      </c>
      <c r="H95" s="2">
        <v>2.0326314621726622</v>
      </c>
      <c r="I95" s="2">
        <v>2.1355325275910748</v>
      </c>
      <c r="J95" s="2">
        <v>1.8018342202386</v>
      </c>
      <c r="K95" s="2">
        <v>1.61027196592977</v>
      </c>
      <c r="L95" s="2">
        <v>1.510321236572306</v>
      </c>
      <c r="M95" s="2">
        <v>1.529379748406607</v>
      </c>
      <c r="N95" s="2"/>
      <c r="O95" s="2"/>
      <c r="P95" s="2"/>
      <c r="Q95" s="2">
        <f t="shared" si="6"/>
        <v>61.092131959525027</v>
      </c>
      <c r="R95" s="2">
        <f t="shared" si="7"/>
        <v>133.64916142033982</v>
      </c>
      <c r="S95" s="2">
        <f t="shared" si="8"/>
        <v>876.24753116416832</v>
      </c>
      <c r="T95" s="2"/>
      <c r="U95" s="2"/>
      <c r="V95" s="2"/>
      <c r="W95" s="2"/>
      <c r="X95" s="2"/>
      <c r="Y95" s="2"/>
      <c r="Z95" s="2"/>
    </row>
    <row r="96" spans="1:26" x14ac:dyDescent="0.2">
      <c r="A96" s="2">
        <v>12</v>
      </c>
      <c r="B96" s="2">
        <v>260814</v>
      </c>
      <c r="C96" s="2" t="s">
        <v>36</v>
      </c>
      <c r="D96" s="2" t="s">
        <v>20</v>
      </c>
      <c r="E96" s="2" t="s">
        <v>145</v>
      </c>
      <c r="F96" s="2">
        <v>3.297137410191473</v>
      </c>
      <c r="G96" s="2">
        <v>3.558402732814189</v>
      </c>
      <c r="H96" s="2">
        <v>3.819977213523857</v>
      </c>
      <c r="I96" s="2">
        <v>3.9097971358306451</v>
      </c>
      <c r="J96" s="2">
        <v>3.4992915232191328</v>
      </c>
      <c r="K96" s="2">
        <v>3.1969215651293492</v>
      </c>
      <c r="L96" s="2">
        <v>2.938722356612121</v>
      </c>
      <c r="M96" s="2">
        <v>2.818611040581211</v>
      </c>
      <c r="N96" s="2"/>
      <c r="O96" s="2"/>
      <c r="P96" s="2"/>
      <c r="Q96" s="2">
        <f t="shared" si="6"/>
        <v>176.17516445612699</v>
      </c>
      <c r="R96" s="2">
        <f t="shared" si="7"/>
        <v>353.34046046096375</v>
      </c>
      <c r="S96" s="2">
        <f t="shared" si="8"/>
        <v>3353.6759736525528</v>
      </c>
      <c r="T96" s="2"/>
      <c r="U96" s="2"/>
      <c r="V96" s="2"/>
      <c r="W96" s="2"/>
      <c r="X96" s="2"/>
      <c r="Y96" s="2"/>
      <c r="Z96" s="2"/>
    </row>
    <row r="97" spans="1:26" x14ac:dyDescent="0.2">
      <c r="A97" s="2">
        <v>13</v>
      </c>
      <c r="B97" s="2">
        <v>260828</v>
      </c>
      <c r="C97" s="2" t="s">
        <v>34</v>
      </c>
      <c r="D97" s="2" t="s">
        <v>20</v>
      </c>
      <c r="E97" s="2" t="s">
        <v>146</v>
      </c>
      <c r="F97" s="2">
        <v>2.426230479863428</v>
      </c>
      <c r="G97" s="2">
        <v>2.6299917869779978</v>
      </c>
      <c r="H97" s="2">
        <v>2.9560197527349992</v>
      </c>
      <c r="I97" s="2">
        <v>2.9859463592757778</v>
      </c>
      <c r="J97" s="2">
        <v>2.5320385553236702</v>
      </c>
      <c r="K97" s="2">
        <v>2.237576858326809</v>
      </c>
      <c r="L97" s="2">
        <v>1.9849301336686951</v>
      </c>
      <c r="M97" s="2">
        <v>1.8781603919827541</v>
      </c>
      <c r="N97" s="2"/>
      <c r="O97" s="2"/>
      <c r="P97" s="2"/>
      <c r="Q97" s="2">
        <f t="shared" si="6"/>
        <v>107.26467147084163</v>
      </c>
      <c r="R97" s="2">
        <f t="shared" si="7"/>
        <v>238.11801282148502</v>
      </c>
      <c r="S97" s="2">
        <f t="shared" si="8"/>
        <v>1748.2441537028426</v>
      </c>
      <c r="T97" s="2"/>
      <c r="U97" s="2"/>
      <c r="V97" s="2"/>
      <c r="W97" s="2"/>
      <c r="X97" s="2"/>
      <c r="Y97" s="2"/>
      <c r="Z97" s="2"/>
    </row>
    <row r="98" spans="1:26" x14ac:dyDescent="0.2">
      <c r="A98" s="2">
        <v>13</v>
      </c>
      <c r="B98" s="2">
        <v>260828</v>
      </c>
      <c r="C98" s="2" t="s">
        <v>32</v>
      </c>
      <c r="D98" s="2" t="s">
        <v>20</v>
      </c>
      <c r="E98" s="2" t="s">
        <v>147</v>
      </c>
      <c r="F98" s="2">
        <v>3.057476833295953</v>
      </c>
      <c r="G98" s="2">
        <v>3.285783003490879</v>
      </c>
      <c r="H98" s="2">
        <v>3.647908362583161</v>
      </c>
      <c r="I98" s="2">
        <v>3.8615105333069919</v>
      </c>
      <c r="J98" s="2">
        <v>3.427799643163707</v>
      </c>
      <c r="K98" s="2">
        <v>3.0611784512008922</v>
      </c>
      <c r="L98" s="2">
        <v>2.6719225610565229</v>
      </c>
      <c r="M98" s="2">
        <v>2.4291262961085831</v>
      </c>
      <c r="N98" s="2"/>
      <c r="O98" s="2"/>
      <c r="P98" s="2"/>
      <c r="Q98" s="2">
        <f t="shared" ref="Q98:Q103" si="9">((F98- 0.00793) / 0.1333)^(1/0.6199)</f>
        <v>155.9346626054658</v>
      </c>
      <c r="R98" s="2">
        <f t="shared" ref="R98:R103" si="10">((H98- 0.0166) / 0.0825)^(1/0.6529)</f>
        <v>329.15316953169048</v>
      </c>
      <c r="S98" s="2">
        <f t="shared" ref="S98:S103" si="11">((J98- 0.06053) / 0.0561)^(1/0.507)</f>
        <v>3217.5456812986081</v>
      </c>
      <c r="T98" s="2"/>
      <c r="U98" s="2"/>
      <c r="V98" s="2"/>
      <c r="W98" s="2"/>
      <c r="X98" s="2"/>
      <c r="Y98" s="2"/>
      <c r="Z98" s="2"/>
    </row>
    <row r="99" spans="1:26" x14ac:dyDescent="0.2">
      <c r="A99" s="2">
        <v>13</v>
      </c>
      <c r="B99" s="2">
        <v>260828</v>
      </c>
      <c r="C99" s="2" t="s">
        <v>43</v>
      </c>
      <c r="D99" s="2" t="s">
        <v>20</v>
      </c>
      <c r="E99" s="2" t="s">
        <v>148</v>
      </c>
      <c r="F99" s="2">
        <v>2.7450385776089248</v>
      </c>
      <c r="G99" s="2">
        <v>2.8128062654635251</v>
      </c>
      <c r="H99" s="2">
        <v>3.1000885849488888</v>
      </c>
      <c r="I99" s="2">
        <v>3.5232218462285161</v>
      </c>
      <c r="J99" s="2">
        <v>3.3174635501287799</v>
      </c>
      <c r="K99" s="2">
        <v>2.9523908552063212</v>
      </c>
      <c r="L99" s="2">
        <v>2.4694887341163771</v>
      </c>
      <c r="M99" s="2">
        <v>2.143314425208342</v>
      </c>
      <c r="N99" s="2"/>
      <c r="O99" s="2"/>
      <c r="P99" s="2"/>
      <c r="Q99" s="2">
        <f t="shared" si="9"/>
        <v>130.98316501762139</v>
      </c>
      <c r="R99" s="2">
        <f t="shared" si="10"/>
        <v>256.22447402751476</v>
      </c>
      <c r="S99" s="2">
        <f t="shared" si="11"/>
        <v>3012.9107406284961</v>
      </c>
      <c r="T99" s="2"/>
      <c r="U99" s="2"/>
      <c r="V99" s="2"/>
      <c r="W99" s="2"/>
      <c r="X99" s="2"/>
      <c r="Y99" s="2"/>
      <c r="Z99" s="2"/>
    </row>
    <row r="100" spans="1:26" x14ac:dyDescent="0.2">
      <c r="A100" s="2">
        <v>13</v>
      </c>
      <c r="B100" s="2">
        <v>260828</v>
      </c>
      <c r="C100" s="2" t="s">
        <v>26</v>
      </c>
      <c r="D100" s="2" t="s">
        <v>20</v>
      </c>
      <c r="E100" s="2" t="s">
        <v>149</v>
      </c>
      <c r="F100" s="2">
        <v>2.393536712656287</v>
      </c>
      <c r="G100" s="2">
        <v>2.5081287369738421</v>
      </c>
      <c r="H100" s="2">
        <v>2.8077229189234121</v>
      </c>
      <c r="I100" s="2">
        <v>3.1305491601833761</v>
      </c>
      <c r="J100" s="2">
        <v>2.7580886827857629</v>
      </c>
      <c r="K100" s="2">
        <v>2.4116353920789488</v>
      </c>
      <c r="L100" s="2">
        <v>2.0029728835519358</v>
      </c>
      <c r="M100" s="2">
        <v>1.7555149405393939</v>
      </c>
      <c r="N100" s="2"/>
      <c r="O100" s="2"/>
      <c r="P100" s="2"/>
      <c r="Q100" s="2">
        <f t="shared" si="9"/>
        <v>104.93506365325794</v>
      </c>
      <c r="R100" s="2">
        <f t="shared" si="10"/>
        <v>219.9668307830583</v>
      </c>
      <c r="S100" s="2">
        <f t="shared" si="11"/>
        <v>2077.6390448162315</v>
      </c>
      <c r="T100" s="2"/>
      <c r="U100" s="2"/>
      <c r="V100" s="2"/>
      <c r="W100" s="2"/>
      <c r="X100" s="2"/>
      <c r="Y100" s="2"/>
      <c r="Z100" s="2"/>
    </row>
    <row r="101" spans="1:26" x14ac:dyDescent="0.2">
      <c r="A101" s="2">
        <v>13</v>
      </c>
      <c r="B101" s="2">
        <v>260828</v>
      </c>
      <c r="C101" s="2" t="s">
        <v>24</v>
      </c>
      <c r="D101" s="2" t="s">
        <v>20</v>
      </c>
      <c r="E101" s="2" t="s">
        <v>150</v>
      </c>
      <c r="F101" s="2">
        <v>2.4323767652365902</v>
      </c>
      <c r="G101" s="2">
        <v>2.591589567544812</v>
      </c>
      <c r="H101" s="2">
        <v>2.8820927922271689</v>
      </c>
      <c r="I101" s="2">
        <v>3.1932219010390939</v>
      </c>
      <c r="J101" s="2">
        <v>2.7794362995663642</v>
      </c>
      <c r="K101" s="2">
        <v>2.4168476632544511</v>
      </c>
      <c r="L101" s="2">
        <v>2.0179038181726181</v>
      </c>
      <c r="M101" s="2">
        <v>1.750654002748721</v>
      </c>
      <c r="N101" s="2"/>
      <c r="O101" s="2"/>
      <c r="P101" s="2"/>
      <c r="Q101" s="2">
        <f t="shared" si="9"/>
        <v>107.70479611695724</v>
      </c>
      <c r="R101" s="2">
        <f t="shared" si="10"/>
        <v>229.00709534447589</v>
      </c>
      <c r="S101" s="2">
        <f t="shared" si="11"/>
        <v>2110.1933395059564</v>
      </c>
      <c r="T101" s="2"/>
      <c r="U101" s="2"/>
      <c r="V101" s="2"/>
      <c r="W101" s="2"/>
      <c r="X101" s="2"/>
      <c r="Y101" s="2"/>
      <c r="Z101" s="2"/>
    </row>
    <row r="102" spans="1:26" x14ac:dyDescent="0.2">
      <c r="A102" s="2">
        <v>13</v>
      </c>
      <c r="B102" s="2">
        <v>260828</v>
      </c>
      <c r="C102" s="2" t="s">
        <v>22</v>
      </c>
      <c r="D102" s="2" t="s">
        <v>20</v>
      </c>
      <c r="E102" s="2" t="s">
        <v>151</v>
      </c>
      <c r="F102" s="2">
        <v>1.5353015107118</v>
      </c>
      <c r="G102" s="2">
        <v>1.678732177962418</v>
      </c>
      <c r="H102" s="2">
        <v>1.900862820735727</v>
      </c>
      <c r="I102" s="2">
        <v>1.9536969961910089</v>
      </c>
      <c r="J102" s="2">
        <v>1.612180497371682</v>
      </c>
      <c r="K102" s="2">
        <v>1.418214937640367</v>
      </c>
      <c r="L102" s="2">
        <v>1.26956089086506</v>
      </c>
      <c r="M102" s="2">
        <v>1.217888078427541</v>
      </c>
      <c r="N102" s="2"/>
      <c r="O102" s="2"/>
      <c r="P102" s="2"/>
      <c r="Q102" s="2">
        <f t="shared" si="9"/>
        <v>51.112228956029128</v>
      </c>
      <c r="R102" s="2">
        <f t="shared" si="10"/>
        <v>120.50471190786736</v>
      </c>
      <c r="S102" s="2">
        <f t="shared" si="11"/>
        <v>697.98841186621382</v>
      </c>
      <c r="T102" s="2"/>
      <c r="U102" s="2"/>
      <c r="V102" s="2"/>
      <c r="W102" s="2"/>
      <c r="X102" s="2"/>
      <c r="Y102" s="2"/>
      <c r="Z102" s="2"/>
    </row>
    <row r="103" spans="1:26" x14ac:dyDescent="0.2">
      <c r="A103" s="2">
        <v>13</v>
      </c>
      <c r="B103" s="2">
        <v>260828</v>
      </c>
      <c r="C103" s="2" t="s">
        <v>19</v>
      </c>
      <c r="D103" s="2" t="s">
        <v>20</v>
      </c>
      <c r="E103" s="2" t="s">
        <v>152</v>
      </c>
      <c r="F103" s="2">
        <v>1.4395577380489499</v>
      </c>
      <c r="G103" s="2">
        <v>1.5732277482621031</v>
      </c>
      <c r="H103" s="2">
        <v>1.7589827695351929</v>
      </c>
      <c r="I103" s="2">
        <v>1.766911321955607</v>
      </c>
      <c r="J103" s="2">
        <v>1.4715183694259319</v>
      </c>
      <c r="K103" s="2">
        <v>1.3239591049591299</v>
      </c>
      <c r="L103" s="2">
        <v>1.252801607015513</v>
      </c>
      <c r="M103" s="2">
        <v>1.2801098617528139</v>
      </c>
      <c r="N103" s="2"/>
      <c r="O103" s="2"/>
      <c r="P103" s="2"/>
      <c r="Q103" s="2">
        <f t="shared" si="9"/>
        <v>46.04382626544507</v>
      </c>
      <c r="R103" s="2">
        <f t="shared" si="10"/>
        <v>106.88871888285362</v>
      </c>
      <c r="S103" s="2">
        <f t="shared" si="11"/>
        <v>578.69121427307743</v>
      </c>
      <c r="T103" s="2"/>
      <c r="U103" s="2"/>
      <c r="V103" s="2"/>
      <c r="W103" s="2"/>
      <c r="X103" s="2"/>
      <c r="Y103" s="2"/>
      <c r="Z103" s="2"/>
    </row>
    <row r="104" spans="1:26" x14ac:dyDescent="0.2"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 t="s">
        <v>153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 t="s">
        <v>0</v>
      </c>
      <c r="B111" s="2" t="s">
        <v>1</v>
      </c>
      <c r="C111" s="2" t="s">
        <v>2</v>
      </c>
      <c r="D111" s="2" t="s">
        <v>3</v>
      </c>
      <c r="E111" s="2" t="s">
        <v>4</v>
      </c>
      <c r="F111" s="2" t="s">
        <v>5</v>
      </c>
      <c r="G111" s="2" t="s">
        <v>6</v>
      </c>
      <c r="H111" s="2" t="s">
        <v>7</v>
      </c>
      <c r="I111" s="2" t="s">
        <v>8</v>
      </c>
      <c r="J111" s="2" t="s">
        <v>9</v>
      </c>
      <c r="K111" s="2" t="s">
        <v>10</v>
      </c>
      <c r="L111" s="2" t="s">
        <v>11</v>
      </c>
      <c r="M111" s="2" t="s">
        <v>12</v>
      </c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>
        <v>1</v>
      </c>
      <c r="B112" s="2">
        <v>260527</v>
      </c>
      <c r="C112" s="2" t="s">
        <v>19</v>
      </c>
      <c r="D112" s="2" t="s">
        <v>20</v>
      </c>
      <c r="E112" s="2" t="s">
        <v>21</v>
      </c>
      <c r="F112" s="2">
        <v>0.31435579169129918</v>
      </c>
      <c r="G112" s="2">
        <v>0.44930729226632982</v>
      </c>
      <c r="H112" s="2">
        <v>0.47626259290491108</v>
      </c>
      <c r="I112" s="2">
        <v>0.31010639902213</v>
      </c>
      <c r="J112" s="2">
        <v>0.2027638396284431</v>
      </c>
      <c r="K112" s="2">
        <v>0.150155010213356</v>
      </c>
      <c r="L112" s="2">
        <v>0.11862956209631979</v>
      </c>
      <c r="M112" s="2">
        <v>0.12828851484221679</v>
      </c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>
        <v>1</v>
      </c>
      <c r="B113" s="2">
        <v>260527</v>
      </c>
      <c r="C113" s="2" t="s">
        <v>22</v>
      </c>
      <c r="D113" s="2" t="s">
        <v>20</v>
      </c>
      <c r="E113" s="2" t="s">
        <v>23</v>
      </c>
      <c r="F113" s="2">
        <v>0.92086415791366405</v>
      </c>
      <c r="G113" s="2">
        <v>0.93324654505178917</v>
      </c>
      <c r="H113" s="2">
        <v>0.94547703829146534</v>
      </c>
      <c r="I113" s="2">
        <v>0.93253712685631729</v>
      </c>
      <c r="J113" s="2">
        <v>0.91546793541403637</v>
      </c>
      <c r="K113" s="2">
        <v>0.89679121854645327</v>
      </c>
      <c r="L113" s="2">
        <v>0.88071955960867754</v>
      </c>
      <c r="M113" s="2">
        <v>0.8827124333444617</v>
      </c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>
        <v>1</v>
      </c>
      <c r="B114" s="2">
        <v>260527</v>
      </c>
      <c r="C114" s="2" t="s">
        <v>24</v>
      </c>
      <c r="D114" s="2" t="s">
        <v>20</v>
      </c>
      <c r="E114" s="2" t="s">
        <v>25</v>
      </c>
      <c r="F114" s="2">
        <v>0.92494434903094935</v>
      </c>
      <c r="G114" s="2">
        <v>0.9402255655639582</v>
      </c>
      <c r="H114" s="2">
        <v>0.9345061547749578</v>
      </c>
      <c r="I114" s="2">
        <v>0.91843600304473028</v>
      </c>
      <c r="J114" s="2">
        <v>0.90648927421375691</v>
      </c>
      <c r="K114" s="2">
        <v>0.88868202067803292</v>
      </c>
      <c r="L114" s="2">
        <v>0.87620572890528747</v>
      </c>
      <c r="M114" s="2">
        <v>0.87777485313886028</v>
      </c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>
        <v>1</v>
      </c>
      <c r="B115" s="2">
        <v>260527</v>
      </c>
      <c r="C115" s="2" t="s">
        <v>26</v>
      </c>
      <c r="D115" s="2" t="s">
        <v>20</v>
      </c>
      <c r="E115" s="2" t="s">
        <v>27</v>
      </c>
      <c r="F115" s="2">
        <v>0.84493419270653403</v>
      </c>
      <c r="G115" s="2">
        <v>0.85784484367438429</v>
      </c>
      <c r="H115" s="2">
        <v>0.88894499173931252</v>
      </c>
      <c r="I115" s="2">
        <v>0.87423038353418292</v>
      </c>
      <c r="J115" s="2">
        <v>0.86313521294465623</v>
      </c>
      <c r="K115" s="2">
        <v>0.84393357237330391</v>
      </c>
      <c r="L115" s="2">
        <v>0.80165254639843264</v>
      </c>
      <c r="M115" s="2">
        <v>0.79967263845246839</v>
      </c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>
        <v>1</v>
      </c>
      <c r="B116" s="2">
        <v>260527</v>
      </c>
      <c r="C116" s="2" t="s">
        <v>28</v>
      </c>
      <c r="D116" s="2" t="s">
        <v>20</v>
      </c>
      <c r="E116" s="2" t="s">
        <v>29</v>
      </c>
      <c r="F116" s="2">
        <v>0.83999401055516298</v>
      </c>
      <c r="G116" s="2">
        <v>0.85379466288984662</v>
      </c>
      <c r="H116" s="2">
        <v>0.87067531223604988</v>
      </c>
      <c r="I116" s="2">
        <v>0.85953794816597862</v>
      </c>
      <c r="J116" s="2">
        <v>0.85327577832038626</v>
      </c>
      <c r="K116" s="2">
        <v>0.83235884934657089</v>
      </c>
      <c r="L116" s="2">
        <v>0.8153758815837483</v>
      </c>
      <c r="M116" s="2">
        <v>0.78636735517586343</v>
      </c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>
        <v>1</v>
      </c>
      <c r="B117" s="2">
        <v>260527</v>
      </c>
      <c r="C117" s="2" t="s">
        <v>30</v>
      </c>
      <c r="D117" s="2" t="s">
        <v>20</v>
      </c>
      <c r="E117" s="2" t="s">
        <v>31</v>
      </c>
      <c r="F117" s="2">
        <v>0.69823282728431113</v>
      </c>
      <c r="G117" s="2">
        <v>0.70070487162174655</v>
      </c>
      <c r="H117" s="2">
        <v>0.64660401367665155</v>
      </c>
      <c r="I117" s="2">
        <v>0.5851704413490062</v>
      </c>
      <c r="J117" s="2">
        <v>0.52141004292481319</v>
      </c>
      <c r="K117" s="2">
        <v>0.50907821157149469</v>
      </c>
      <c r="L117" s="2">
        <v>0.45574757437880792</v>
      </c>
      <c r="M117" s="2">
        <v>0.5063057931650583</v>
      </c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>
        <v>1</v>
      </c>
      <c r="B118" s="2">
        <v>260527</v>
      </c>
      <c r="C118" s="2" t="s">
        <v>32</v>
      </c>
      <c r="D118" s="2" t="s">
        <v>20</v>
      </c>
      <c r="E118" s="2" t="s">
        <v>33</v>
      </c>
      <c r="F118" s="2">
        <v>0.9491601074971624</v>
      </c>
      <c r="G118" s="2">
        <v>0.94722934130282854</v>
      </c>
      <c r="H118" s="2">
        <v>0.94967599414447312</v>
      </c>
      <c r="I118" s="2">
        <v>0.94637432370666741</v>
      </c>
      <c r="J118" s="2">
        <v>0.93804740954173915</v>
      </c>
      <c r="K118" s="2">
        <v>0.93157511118004754</v>
      </c>
      <c r="L118" s="2">
        <v>0.92230918377658533</v>
      </c>
      <c r="M118" s="2">
        <v>0.91373274452705144</v>
      </c>
    </row>
    <row r="119" spans="1:26" x14ac:dyDescent="0.2">
      <c r="A119" s="2">
        <v>1</v>
      </c>
      <c r="B119" s="2">
        <v>260527</v>
      </c>
      <c r="C119" s="2" t="s">
        <v>34</v>
      </c>
      <c r="D119" s="2" t="s">
        <v>20</v>
      </c>
      <c r="E119" s="2" t="s">
        <v>35</v>
      </c>
      <c r="F119" s="2">
        <v>0.58495348820036341</v>
      </c>
      <c r="G119" s="2">
        <v>0.59432991000108626</v>
      </c>
      <c r="H119" s="2">
        <v>0.57721978562536103</v>
      </c>
      <c r="I119" s="2">
        <v>0.52149388355614745</v>
      </c>
      <c r="J119" s="2">
        <v>0.34303562420677419</v>
      </c>
      <c r="K119" s="2">
        <v>0.31313027660455373</v>
      </c>
      <c r="L119" s="2">
        <v>0.21977199662369129</v>
      </c>
      <c r="M119" s="2">
        <v>0.20806271460813411</v>
      </c>
    </row>
    <row r="120" spans="1:26" x14ac:dyDescent="0.2">
      <c r="A120" s="2">
        <v>1</v>
      </c>
      <c r="B120" s="2">
        <v>260527</v>
      </c>
      <c r="C120" s="2" t="s">
        <v>36</v>
      </c>
      <c r="D120" s="2" t="s">
        <v>20</v>
      </c>
      <c r="E120" s="2" t="s">
        <v>37</v>
      </c>
      <c r="F120" s="2">
        <v>0.26365223595468351</v>
      </c>
      <c r="G120" s="2">
        <v>0.2790086438864649</v>
      </c>
      <c r="H120" s="2">
        <v>0.31610536704354802</v>
      </c>
      <c r="I120" s="2">
        <v>0.26350331820468542</v>
      </c>
      <c r="J120" s="2">
        <v>0.22780619553371911</v>
      </c>
      <c r="K120" s="2">
        <v>0.18840998612964599</v>
      </c>
      <c r="L120" s="2">
        <v>0.1402387956803853</v>
      </c>
      <c r="M120" s="2">
        <v>0.12988191184864309</v>
      </c>
    </row>
    <row r="121" spans="1:26" x14ac:dyDescent="0.2">
      <c r="A121" s="2">
        <v>2</v>
      </c>
      <c r="B121" s="2">
        <v>260603</v>
      </c>
      <c r="C121" s="2" t="s">
        <v>36</v>
      </c>
      <c r="D121" s="2" t="s">
        <v>20</v>
      </c>
      <c r="E121" s="2" t="s">
        <v>38</v>
      </c>
      <c r="F121" s="2">
        <v>0.93900954039675666</v>
      </c>
      <c r="G121" s="2">
        <v>0.93745129044191788</v>
      </c>
      <c r="H121" s="2">
        <v>0.95800496881002151</v>
      </c>
      <c r="I121" s="2">
        <v>0.95857677052278101</v>
      </c>
      <c r="J121" s="2">
        <v>0.95520862362551584</v>
      </c>
      <c r="K121" s="2">
        <v>0.90807348667650101</v>
      </c>
      <c r="L121" s="2">
        <v>0.9279831772659779</v>
      </c>
      <c r="M121" s="2">
        <v>0.86735936318670337</v>
      </c>
    </row>
    <row r="122" spans="1:26" x14ac:dyDescent="0.2">
      <c r="A122" s="2">
        <v>2</v>
      </c>
      <c r="B122" s="2">
        <v>260603</v>
      </c>
      <c r="C122" s="2" t="s">
        <v>19</v>
      </c>
      <c r="D122" s="2" t="s">
        <v>20</v>
      </c>
      <c r="E122" s="2" t="s">
        <v>39</v>
      </c>
      <c r="F122" s="2">
        <v>0.9863499051944371</v>
      </c>
      <c r="G122" s="2">
        <v>0.98442207591638853</v>
      </c>
      <c r="H122" s="2">
        <v>0.99049974058651236</v>
      </c>
      <c r="I122" s="2">
        <v>0.99241847210615963</v>
      </c>
      <c r="J122" s="2">
        <v>0.99131696884624299</v>
      </c>
      <c r="K122" s="2">
        <v>0.98842060901909168</v>
      </c>
      <c r="L122" s="2">
        <v>0.98372736055617249</v>
      </c>
      <c r="M122" s="2">
        <v>0.9861942898887599</v>
      </c>
    </row>
    <row r="123" spans="1:26" x14ac:dyDescent="0.2">
      <c r="A123" s="2">
        <v>2</v>
      </c>
      <c r="B123" s="2">
        <v>260603</v>
      </c>
      <c r="C123" s="2" t="s">
        <v>22</v>
      </c>
      <c r="D123" s="2" t="s">
        <v>20</v>
      </c>
      <c r="E123" s="2" t="s">
        <v>40</v>
      </c>
      <c r="F123" s="2">
        <v>0.96150336441611861</v>
      </c>
      <c r="G123" s="2">
        <v>0.96520981428428776</v>
      </c>
      <c r="H123" s="2">
        <v>0.97272701303479936</v>
      </c>
      <c r="I123" s="2">
        <v>0.97781343454562974</v>
      </c>
      <c r="J123" s="2">
        <v>0.96504383349840872</v>
      </c>
      <c r="K123" s="2">
        <v>0.95695750589297734</v>
      </c>
      <c r="L123" s="2">
        <v>0.94863009176505275</v>
      </c>
      <c r="M123" s="2">
        <v>0.94585339338927388</v>
      </c>
    </row>
    <row r="124" spans="1:26" x14ac:dyDescent="0.2">
      <c r="A124" s="2">
        <v>2</v>
      </c>
      <c r="B124" s="2">
        <v>260603</v>
      </c>
      <c r="C124" s="2" t="s">
        <v>24</v>
      </c>
      <c r="D124" s="2" t="s">
        <v>20</v>
      </c>
      <c r="E124" s="2" t="s">
        <v>41</v>
      </c>
      <c r="F124" s="2">
        <v>0.89262474918741652</v>
      </c>
      <c r="G124" s="2">
        <v>0.88708432058874576</v>
      </c>
      <c r="H124" s="2">
        <v>0.90071037335003512</v>
      </c>
      <c r="I124" s="2">
        <v>0.94229191398002088</v>
      </c>
      <c r="J124" s="2">
        <v>0.9364991050364857</v>
      </c>
      <c r="K124" s="2">
        <v>0.92143001179934136</v>
      </c>
      <c r="L124" s="2">
        <v>0.89138992039199105</v>
      </c>
      <c r="M124" s="2">
        <v>0.87761201143791168</v>
      </c>
    </row>
    <row r="125" spans="1:26" x14ac:dyDescent="0.2">
      <c r="A125" s="2">
        <v>2</v>
      </c>
      <c r="B125" s="2">
        <v>260603</v>
      </c>
      <c r="C125" s="2" t="s">
        <v>26</v>
      </c>
      <c r="D125" s="2" t="s">
        <v>20</v>
      </c>
      <c r="E125" s="2" t="s">
        <v>42</v>
      </c>
      <c r="F125" s="2">
        <v>0.2083840256627027</v>
      </c>
      <c r="G125" s="2">
        <v>0.26616599916682387</v>
      </c>
      <c r="H125" s="2">
        <v>0.44860692151484388</v>
      </c>
      <c r="I125" s="2">
        <v>0.48209255891481262</v>
      </c>
      <c r="J125" s="2">
        <v>0.26917660458342207</v>
      </c>
      <c r="K125" s="2">
        <v>0.15743334746852511</v>
      </c>
      <c r="L125" s="2">
        <v>7.1594898764277312E-2</v>
      </c>
      <c r="M125" s="2">
        <v>3.8028784531803618E-2</v>
      </c>
    </row>
    <row r="126" spans="1:26" x14ac:dyDescent="0.2">
      <c r="A126" s="2">
        <v>2</v>
      </c>
      <c r="B126" s="2">
        <v>260603</v>
      </c>
      <c r="C126" s="2" t="s">
        <v>43</v>
      </c>
      <c r="D126" s="2" t="s">
        <v>20</v>
      </c>
      <c r="E126" s="2" t="s">
        <v>44</v>
      </c>
      <c r="F126" s="2">
        <v>0.97828821886118456</v>
      </c>
      <c r="G126" s="2">
        <v>0.97907806868667724</v>
      </c>
      <c r="H126" s="2">
        <v>0.98181298241600234</v>
      </c>
      <c r="I126" s="2">
        <v>0.98529864201486372</v>
      </c>
      <c r="J126" s="2">
        <v>0.98445811171657827</v>
      </c>
      <c r="K126" s="2">
        <v>0.98038000911189505</v>
      </c>
      <c r="L126" s="2">
        <v>0.97613412334387317</v>
      </c>
      <c r="M126" s="2">
        <v>0.97364556066494656</v>
      </c>
    </row>
    <row r="127" spans="1:26" x14ac:dyDescent="0.2">
      <c r="A127" s="2">
        <v>3</v>
      </c>
      <c r="B127" s="2">
        <v>260610</v>
      </c>
      <c r="C127" s="2" t="s">
        <v>45</v>
      </c>
      <c r="D127" s="2" t="s">
        <v>20</v>
      </c>
      <c r="E127" s="2" t="s">
        <v>46</v>
      </c>
      <c r="F127" s="2">
        <v>0.83426694634957654</v>
      </c>
      <c r="G127" s="2">
        <v>0.82921737354316416</v>
      </c>
      <c r="H127" s="2">
        <v>0.78953792439494075</v>
      </c>
      <c r="I127" s="2">
        <v>0.77045082838333612</v>
      </c>
      <c r="J127" s="2">
        <v>0.67660386541231909</v>
      </c>
      <c r="K127" s="2">
        <v>0.68149427254877026</v>
      </c>
      <c r="L127" s="2">
        <v>0.72344397875037336</v>
      </c>
      <c r="M127" s="2">
        <v>0.72011263352906507</v>
      </c>
    </row>
    <row r="128" spans="1:26" x14ac:dyDescent="0.2">
      <c r="A128" s="2">
        <v>3</v>
      </c>
      <c r="B128" s="2">
        <v>260610</v>
      </c>
      <c r="C128" s="2" t="s">
        <v>47</v>
      </c>
      <c r="D128" s="2" t="s">
        <v>20</v>
      </c>
      <c r="E128" s="2" t="s">
        <v>48</v>
      </c>
      <c r="F128" s="2">
        <v>0.92230373689703404</v>
      </c>
      <c r="G128" s="2">
        <v>0.92670883217784339</v>
      </c>
      <c r="H128" s="2">
        <v>0.92220206209490019</v>
      </c>
      <c r="I128" s="2">
        <v>0.90840601127595599</v>
      </c>
      <c r="J128" s="2">
        <v>0.87408308356348463</v>
      </c>
      <c r="K128" s="2">
        <v>0.8682574855160522</v>
      </c>
      <c r="L128" s="2">
        <v>0.87852922487864271</v>
      </c>
      <c r="M128" s="2">
        <v>0.88117894117153361</v>
      </c>
    </row>
    <row r="129" spans="1:13" x14ac:dyDescent="0.2">
      <c r="A129" s="2">
        <v>3</v>
      </c>
      <c r="B129" s="2">
        <v>260610</v>
      </c>
      <c r="C129" s="2" t="s">
        <v>49</v>
      </c>
      <c r="D129" s="2" t="s">
        <v>20</v>
      </c>
      <c r="E129" s="2" t="s">
        <v>50</v>
      </c>
      <c r="F129" s="2">
        <v>0.96524439963155162</v>
      </c>
      <c r="G129" s="2">
        <v>0.9562211257143225</v>
      </c>
      <c r="H129" s="2">
        <v>0.96324371775102269</v>
      </c>
      <c r="I129" s="2">
        <v>0.96415674646581206</v>
      </c>
      <c r="J129" s="2">
        <v>0.95358656768559946</v>
      </c>
      <c r="K129" s="2">
        <v>0.95108097007992254</v>
      </c>
      <c r="L129" s="2">
        <v>0.94561339929205379</v>
      </c>
      <c r="M129" s="2">
        <v>0.94633214427115941</v>
      </c>
    </row>
    <row r="130" spans="1:13" x14ac:dyDescent="0.2">
      <c r="A130" s="2">
        <v>3</v>
      </c>
      <c r="B130" s="2">
        <v>260610</v>
      </c>
      <c r="C130" s="2" t="s">
        <v>51</v>
      </c>
      <c r="D130" s="2" t="s">
        <v>20</v>
      </c>
      <c r="E130" s="2" t="s">
        <v>52</v>
      </c>
      <c r="F130" s="2">
        <v>0.39610980838872228</v>
      </c>
      <c r="G130" s="2">
        <v>0.4633716188074215</v>
      </c>
      <c r="H130" s="2">
        <v>0.49476896911908341</v>
      </c>
      <c r="I130" s="2">
        <v>0.44836406337394308</v>
      </c>
      <c r="J130" s="2">
        <v>0.38540863990998858</v>
      </c>
      <c r="K130" s="2">
        <v>0.3522731514922835</v>
      </c>
      <c r="L130" s="2">
        <v>0.34231432470466122</v>
      </c>
      <c r="M130" s="2">
        <v>0.36031918142519342</v>
      </c>
    </row>
    <row r="131" spans="1:13" x14ac:dyDescent="0.2">
      <c r="A131" s="2">
        <v>3</v>
      </c>
      <c r="B131" s="2">
        <v>260610</v>
      </c>
      <c r="C131" s="2" t="s">
        <v>53</v>
      </c>
      <c r="D131" s="2" t="s">
        <v>20</v>
      </c>
      <c r="E131" s="2" t="s">
        <v>54</v>
      </c>
      <c r="F131" s="2">
        <v>0.98920754504378738</v>
      </c>
      <c r="G131" s="2">
        <v>0.98871640762673496</v>
      </c>
      <c r="H131" s="2">
        <v>0.98930529933738753</v>
      </c>
      <c r="I131" s="2">
        <v>0.99012679087997435</v>
      </c>
      <c r="J131" s="2">
        <v>0.98973168741776674</v>
      </c>
      <c r="K131" s="2">
        <v>0.98844223980809609</v>
      </c>
      <c r="L131" s="2">
        <v>0.98618773816227734</v>
      </c>
      <c r="M131" s="2">
        <v>0.98795096977598873</v>
      </c>
    </row>
    <row r="132" spans="1:13" x14ac:dyDescent="0.2">
      <c r="A132" s="2">
        <v>3</v>
      </c>
      <c r="B132" s="2">
        <v>260610</v>
      </c>
      <c r="C132" s="2" t="s">
        <v>32</v>
      </c>
      <c r="D132" s="2" t="s">
        <v>20</v>
      </c>
      <c r="E132" s="2" t="s">
        <v>55</v>
      </c>
      <c r="F132" s="2">
        <v>0.95743781610472023</v>
      </c>
      <c r="G132" s="2">
        <v>0.93706682667845675</v>
      </c>
      <c r="H132" s="2">
        <v>0.94523874315739964</v>
      </c>
      <c r="I132" s="2">
        <v>0.95990832654686498</v>
      </c>
      <c r="J132" s="2">
        <v>0.95228232199552576</v>
      </c>
      <c r="K132" s="2">
        <v>0.94696865243776107</v>
      </c>
      <c r="L132" s="2">
        <v>0.92961623976140328</v>
      </c>
      <c r="M132" s="2">
        <v>0.92059199804450143</v>
      </c>
    </row>
    <row r="133" spans="1:13" x14ac:dyDescent="0.2">
      <c r="A133" s="2">
        <v>3</v>
      </c>
      <c r="B133" s="2">
        <v>260610</v>
      </c>
      <c r="C133" s="2" t="s">
        <v>34</v>
      </c>
      <c r="D133" s="2" t="s">
        <v>20</v>
      </c>
      <c r="E133" s="2" t="s">
        <v>56</v>
      </c>
      <c r="F133" s="2">
        <v>0.79154607330228322</v>
      </c>
      <c r="G133" s="2">
        <v>0.76712803285013875</v>
      </c>
      <c r="H133" s="2">
        <v>0.80668506332605472</v>
      </c>
      <c r="I133" s="2">
        <v>0.84060357461485558</v>
      </c>
      <c r="J133" s="2">
        <v>0.81091704958773125</v>
      </c>
      <c r="K133" s="2">
        <v>0.78765603966035957</v>
      </c>
      <c r="L133" s="2">
        <v>0.75680273446799629</v>
      </c>
      <c r="M133" s="2">
        <v>0.74958151358597513</v>
      </c>
    </row>
    <row r="134" spans="1:13" x14ac:dyDescent="0.2">
      <c r="A134" s="2">
        <v>4</v>
      </c>
      <c r="B134" s="2">
        <v>260618</v>
      </c>
      <c r="C134" s="2" t="s">
        <v>57</v>
      </c>
      <c r="D134" s="2" t="s">
        <v>20</v>
      </c>
      <c r="E134" s="2" t="s">
        <v>58</v>
      </c>
      <c r="F134" s="2">
        <v>0.68857042481324038</v>
      </c>
      <c r="G134" s="2">
        <v>0.72899020037199136</v>
      </c>
      <c r="H134" s="2">
        <v>0.75526958953443524</v>
      </c>
      <c r="I134" s="2">
        <v>0.71870373886468453</v>
      </c>
      <c r="J134" s="2">
        <v>0.63855198218814568</v>
      </c>
      <c r="K134" s="2">
        <v>0.58611022159308523</v>
      </c>
      <c r="L134" s="2">
        <v>0.54842646804237538</v>
      </c>
      <c r="M134" s="2">
        <v>0.54813694580576855</v>
      </c>
    </row>
    <row r="135" spans="1:13" x14ac:dyDescent="0.2">
      <c r="A135" s="2">
        <v>4</v>
      </c>
      <c r="B135" s="2">
        <v>260618</v>
      </c>
      <c r="C135" s="2" t="s">
        <v>59</v>
      </c>
      <c r="D135" s="2" t="s">
        <v>60</v>
      </c>
      <c r="E135" s="2" t="s">
        <v>61</v>
      </c>
      <c r="F135" s="2">
        <v>0.83605623518732886</v>
      </c>
      <c r="G135" s="2">
        <v>0.85494376836449004</v>
      </c>
      <c r="H135" s="2">
        <v>0.89652560518648716</v>
      </c>
      <c r="I135" s="2">
        <v>0.89896315362829926</v>
      </c>
      <c r="J135" s="2">
        <v>0.81172614433476864</v>
      </c>
      <c r="K135" s="2">
        <v>0.74756324478503822</v>
      </c>
      <c r="L135" s="2">
        <v>0.70414005589460638</v>
      </c>
      <c r="M135" s="2">
        <v>0.71666743198313509</v>
      </c>
    </row>
    <row r="136" spans="1:13" x14ac:dyDescent="0.2">
      <c r="A136" s="2">
        <v>4</v>
      </c>
      <c r="B136" s="2">
        <v>260618</v>
      </c>
      <c r="C136" s="2" t="s">
        <v>62</v>
      </c>
      <c r="D136" s="2" t="s">
        <v>20</v>
      </c>
      <c r="E136" s="2" t="s">
        <v>63</v>
      </c>
      <c r="F136" s="2">
        <v>0.80975949575749595</v>
      </c>
      <c r="G136" s="2">
        <v>0.83459095437057418</v>
      </c>
      <c r="H136" s="2">
        <v>0.88096419982657204</v>
      </c>
      <c r="I136" s="2">
        <v>0.88644764590073577</v>
      </c>
      <c r="J136" s="2">
        <v>0.81436472709785468</v>
      </c>
      <c r="K136" s="2">
        <v>0.75160004040200323</v>
      </c>
      <c r="L136" s="2">
        <v>0.6965704470369728</v>
      </c>
      <c r="M136" s="2">
        <v>0.71232764766568957</v>
      </c>
    </row>
    <row r="137" spans="1:13" x14ac:dyDescent="0.2">
      <c r="A137" s="2">
        <v>4</v>
      </c>
      <c r="B137" s="2">
        <v>260618</v>
      </c>
      <c r="C137" s="2" t="s">
        <v>64</v>
      </c>
      <c r="D137" s="2" t="s">
        <v>60</v>
      </c>
      <c r="E137" s="2" t="s">
        <v>65</v>
      </c>
      <c r="F137" s="2">
        <v>0.84991273022252356</v>
      </c>
      <c r="G137" s="2">
        <v>0.75389279583939028</v>
      </c>
      <c r="H137" s="2">
        <v>0.79753062744380643</v>
      </c>
      <c r="I137" s="2">
        <v>0.77608008501127046</v>
      </c>
      <c r="J137" s="2">
        <v>0.62631759115263985</v>
      </c>
      <c r="K137" s="2">
        <v>0.70006259534658644</v>
      </c>
      <c r="L137" s="2">
        <v>0.57201171088031189</v>
      </c>
      <c r="M137" s="2">
        <v>0.57103704223730833</v>
      </c>
    </row>
    <row r="138" spans="1:13" x14ac:dyDescent="0.2">
      <c r="A138" s="2">
        <v>4</v>
      </c>
      <c r="B138" s="2">
        <v>260618</v>
      </c>
      <c r="C138" s="2" t="s">
        <v>66</v>
      </c>
      <c r="D138" s="2" t="s">
        <v>20</v>
      </c>
      <c r="E138" s="2" t="s">
        <v>67</v>
      </c>
      <c r="F138" s="2">
        <v>0.93115957372984814</v>
      </c>
      <c r="G138" s="2">
        <v>0.92203228317233699</v>
      </c>
      <c r="H138" s="2">
        <v>0.93653025872496443</v>
      </c>
      <c r="I138" s="2">
        <v>0.95380623653865559</v>
      </c>
      <c r="J138" s="2">
        <v>0.94958973474449249</v>
      </c>
      <c r="K138" s="2">
        <v>0.93813614114167787</v>
      </c>
      <c r="L138" s="2">
        <v>0.92504665198325364</v>
      </c>
      <c r="M138" s="2">
        <v>0.91591297065450317</v>
      </c>
    </row>
    <row r="139" spans="1:13" x14ac:dyDescent="0.2">
      <c r="A139" s="2">
        <v>4</v>
      </c>
      <c r="B139" s="2">
        <v>260618</v>
      </c>
      <c r="C139" s="2" t="s">
        <v>68</v>
      </c>
      <c r="D139" s="2" t="s">
        <v>60</v>
      </c>
      <c r="E139" s="2" t="s">
        <v>69</v>
      </c>
      <c r="F139" s="2">
        <v>0.90446022841136353</v>
      </c>
      <c r="G139" s="2">
        <v>0.90845188909339514</v>
      </c>
      <c r="H139" s="2">
        <v>0.92592006189506371</v>
      </c>
      <c r="I139" s="2">
        <v>0.92237709600161799</v>
      </c>
      <c r="J139" s="2">
        <v>0.89983722178649594</v>
      </c>
      <c r="K139" s="2">
        <v>0.89021915980369315</v>
      </c>
      <c r="L139" s="2">
        <v>0.86796704943383285</v>
      </c>
      <c r="M139" s="2">
        <v>0.86065296476889575</v>
      </c>
    </row>
    <row r="140" spans="1:13" x14ac:dyDescent="0.2">
      <c r="A140" s="2">
        <v>4</v>
      </c>
      <c r="B140" s="2">
        <v>260618</v>
      </c>
      <c r="C140" s="2" t="s">
        <v>70</v>
      </c>
      <c r="D140" s="2" t="s">
        <v>20</v>
      </c>
      <c r="E140" s="2" t="s">
        <v>71</v>
      </c>
      <c r="F140" s="2">
        <v>0.80442255880688462</v>
      </c>
      <c r="G140" s="2">
        <v>0.79624574326872877</v>
      </c>
      <c r="H140" s="2">
        <v>0.8190632990666028</v>
      </c>
      <c r="I140" s="2">
        <v>0.8299681292554818</v>
      </c>
      <c r="J140" s="2">
        <v>0.86798945845877939</v>
      </c>
      <c r="K140" s="2">
        <v>0.85214676550925628</v>
      </c>
      <c r="L140" s="2">
        <v>0.82851243656070628</v>
      </c>
      <c r="M140" s="2">
        <v>0.82261899302606134</v>
      </c>
    </row>
    <row r="141" spans="1:13" x14ac:dyDescent="0.2">
      <c r="A141" s="2">
        <v>4</v>
      </c>
      <c r="B141" s="2">
        <v>260618</v>
      </c>
      <c r="C141" s="2" t="s">
        <v>72</v>
      </c>
      <c r="D141" s="2" t="s">
        <v>60</v>
      </c>
      <c r="E141" s="2" t="s">
        <v>73</v>
      </c>
      <c r="F141" s="2">
        <v>0.56692283312208747</v>
      </c>
      <c r="G141" s="2">
        <v>0.56338810563908892</v>
      </c>
      <c r="H141" s="2">
        <v>0.60306127109313823</v>
      </c>
      <c r="I141" s="2">
        <v>0.64628613502494003</v>
      </c>
      <c r="J141" s="2">
        <v>0.61501610162861753</v>
      </c>
      <c r="K141" s="2">
        <v>0.56796772017213659</v>
      </c>
      <c r="L141" s="2">
        <v>0.49280654530908802</v>
      </c>
      <c r="M141" s="2">
        <v>0.47009528098745901</v>
      </c>
    </row>
    <row r="142" spans="1:13" x14ac:dyDescent="0.2">
      <c r="A142" s="2">
        <v>4</v>
      </c>
      <c r="B142" s="2">
        <v>260618</v>
      </c>
      <c r="C142" s="2" t="s">
        <v>28</v>
      </c>
      <c r="D142" s="2" t="s">
        <v>20</v>
      </c>
      <c r="E142" s="2" t="s">
        <v>74</v>
      </c>
      <c r="F142" s="2">
        <v>0.6448596180295133</v>
      </c>
      <c r="G142" s="2">
        <v>0.6994642122146445</v>
      </c>
      <c r="H142" s="2">
        <v>0.74396690249712982</v>
      </c>
      <c r="I142" s="2">
        <v>0.73650787272659413</v>
      </c>
      <c r="J142" s="2">
        <v>0.66612899263125969</v>
      </c>
      <c r="K142" s="2">
        <v>0.60173732780456668</v>
      </c>
      <c r="L142" s="2">
        <v>0.53974951146986139</v>
      </c>
      <c r="M142" s="2">
        <v>0.4917561665287275</v>
      </c>
    </row>
    <row r="143" spans="1:13" x14ac:dyDescent="0.2">
      <c r="A143" s="2">
        <v>4</v>
      </c>
      <c r="B143" s="2">
        <v>260618</v>
      </c>
      <c r="C143" s="2" t="s">
        <v>30</v>
      </c>
      <c r="D143" s="2" t="s">
        <v>60</v>
      </c>
      <c r="E143" s="2" t="s">
        <v>75</v>
      </c>
      <c r="F143" s="2">
        <v>0.9248623584426694</v>
      </c>
      <c r="G143" s="2">
        <v>0.91482978181215502</v>
      </c>
      <c r="H143" s="2">
        <v>0.92360054086710985</v>
      </c>
      <c r="I143" s="2">
        <v>0.93624069602344373</v>
      </c>
      <c r="J143" s="2">
        <v>0.94725954217734143</v>
      </c>
      <c r="K143" s="2">
        <v>0.9405190699014786</v>
      </c>
      <c r="L143" s="2">
        <v>0.93111476318821884</v>
      </c>
      <c r="M143" s="2">
        <v>0.9230261973093552</v>
      </c>
    </row>
    <row r="144" spans="1:13" x14ac:dyDescent="0.2">
      <c r="A144" s="2">
        <v>4</v>
      </c>
      <c r="B144" s="2">
        <v>260618</v>
      </c>
      <c r="C144" s="2" t="s">
        <v>76</v>
      </c>
      <c r="D144" s="2" t="s">
        <v>20</v>
      </c>
      <c r="E144" s="2" t="s">
        <v>77</v>
      </c>
      <c r="F144" s="2">
        <v>0.83382932802610832</v>
      </c>
      <c r="G144" s="2">
        <v>0.84630332345116299</v>
      </c>
      <c r="H144" s="2">
        <v>0.85875469878660615</v>
      </c>
      <c r="I144" s="2">
        <v>0.84938658171214787</v>
      </c>
      <c r="J144" s="2">
        <v>0.8013573102155982</v>
      </c>
      <c r="K144" s="2">
        <v>0.77676164207403853</v>
      </c>
      <c r="L144" s="2">
        <v>0.75159303241854469</v>
      </c>
      <c r="M144" s="2">
        <v>0.7325900744826731</v>
      </c>
    </row>
    <row r="145" spans="1:13" x14ac:dyDescent="0.2">
      <c r="A145" s="2">
        <v>4</v>
      </c>
      <c r="B145" s="2">
        <v>260618</v>
      </c>
      <c r="C145" s="2" t="s">
        <v>78</v>
      </c>
      <c r="D145" s="2" t="s">
        <v>60</v>
      </c>
      <c r="E145" s="2" t="s">
        <v>79</v>
      </c>
      <c r="F145" s="2">
        <v>0.88340084357842308</v>
      </c>
      <c r="G145" s="2">
        <v>0.86386077009439921</v>
      </c>
      <c r="H145" s="2">
        <v>0.87714366391743248</v>
      </c>
      <c r="I145" s="2">
        <v>0.87506725737382129</v>
      </c>
      <c r="J145" s="2">
        <v>0.84767452589454007</v>
      </c>
      <c r="K145" s="2">
        <v>0.84436019010241792</v>
      </c>
      <c r="L145" s="2">
        <v>0.81417273075929453</v>
      </c>
      <c r="M145" s="2">
        <v>0.81398392892777138</v>
      </c>
    </row>
    <row r="146" spans="1:13" x14ac:dyDescent="0.2">
      <c r="A146" s="2">
        <v>5</v>
      </c>
      <c r="B146" s="2">
        <v>260625</v>
      </c>
      <c r="C146" s="2" t="s">
        <v>45</v>
      </c>
      <c r="D146" s="2" t="s">
        <v>60</v>
      </c>
      <c r="E146" s="2" t="s">
        <v>80</v>
      </c>
      <c r="F146" s="2">
        <v>0.94409737195323673</v>
      </c>
      <c r="G146" s="2">
        <v>0.95740708792460516</v>
      </c>
      <c r="H146" s="2">
        <v>0.93989293608542035</v>
      </c>
      <c r="I146" s="2">
        <v>0.90417070461323124</v>
      </c>
      <c r="J146" s="2">
        <v>0.85969744513870683</v>
      </c>
      <c r="K146" s="2">
        <v>0.84737281661572272</v>
      </c>
      <c r="L146" s="2">
        <v>0.86211435118502855</v>
      </c>
      <c r="M146" s="2">
        <v>0.8846505842900847</v>
      </c>
    </row>
    <row r="147" spans="1:13" x14ac:dyDescent="0.2">
      <c r="A147" s="2">
        <v>5</v>
      </c>
      <c r="B147" s="2">
        <v>260625</v>
      </c>
      <c r="C147" s="2" t="s">
        <v>47</v>
      </c>
      <c r="D147" s="2" t="s">
        <v>60</v>
      </c>
      <c r="E147" s="2" t="s">
        <v>81</v>
      </c>
      <c r="F147" s="2">
        <v>0.78850458907155829</v>
      </c>
      <c r="G147" s="2">
        <v>0.61222679539153713</v>
      </c>
      <c r="H147" s="2">
        <v>0.5586230668064609</v>
      </c>
      <c r="I147" s="2">
        <v>0.35840657774341927</v>
      </c>
      <c r="J147" s="2">
        <v>0.30643852534130639</v>
      </c>
      <c r="K147" s="2">
        <v>0.31199948604231298</v>
      </c>
      <c r="L147" s="2">
        <v>0.25399495421853691</v>
      </c>
      <c r="M147" s="2">
        <v>0.42266211854248859</v>
      </c>
    </row>
    <row r="148" spans="1:13" x14ac:dyDescent="0.2">
      <c r="A148" s="2">
        <v>5</v>
      </c>
      <c r="B148" s="2">
        <v>260625</v>
      </c>
      <c r="C148" s="2" t="s">
        <v>49</v>
      </c>
      <c r="D148" s="2" t="s">
        <v>60</v>
      </c>
      <c r="E148" s="2" t="s">
        <v>82</v>
      </c>
      <c r="F148" s="2">
        <v>0.98952635799100652</v>
      </c>
      <c r="G148" s="2">
        <v>0.98163393741589666</v>
      </c>
      <c r="H148" s="2">
        <v>0.98493356878696958</v>
      </c>
      <c r="I148" s="2">
        <v>0.98515250393297638</v>
      </c>
      <c r="J148" s="2">
        <v>0.9806833630612285</v>
      </c>
      <c r="K148" s="2">
        <v>0.98180942951807892</v>
      </c>
      <c r="L148" s="2">
        <v>0.97644451175443414</v>
      </c>
      <c r="M148" s="2">
        <v>0.98208220746475372</v>
      </c>
    </row>
    <row r="149" spans="1:13" x14ac:dyDescent="0.2">
      <c r="A149" s="2">
        <v>5</v>
      </c>
      <c r="B149" s="2">
        <v>260625</v>
      </c>
      <c r="C149" s="2" t="s">
        <v>51</v>
      </c>
      <c r="D149" s="2" t="s">
        <v>60</v>
      </c>
      <c r="E149" s="2" t="s">
        <v>83</v>
      </c>
      <c r="F149" s="2">
        <v>0.81824549326153928</v>
      </c>
      <c r="G149" s="2">
        <v>0.82480924811462297</v>
      </c>
      <c r="H149" s="2">
        <v>0.87462226814483046</v>
      </c>
      <c r="I149" s="2">
        <v>0.87925480709613413</v>
      </c>
      <c r="J149" s="2">
        <v>0.8233133878916743</v>
      </c>
      <c r="K149" s="2">
        <v>0.78367637090782383</v>
      </c>
      <c r="L149" s="2">
        <v>0.76956870721075299</v>
      </c>
      <c r="M149" s="2">
        <v>0.77980611534260202</v>
      </c>
    </row>
    <row r="150" spans="1:13" x14ac:dyDescent="0.2">
      <c r="A150" s="2">
        <v>5</v>
      </c>
      <c r="B150" s="2">
        <v>260625</v>
      </c>
      <c r="C150" s="2" t="s">
        <v>53</v>
      </c>
      <c r="D150" s="2" t="s">
        <v>60</v>
      </c>
      <c r="E150" s="2" t="s">
        <v>84</v>
      </c>
      <c r="F150" s="2">
        <v>0.90641958145412083</v>
      </c>
      <c r="G150" s="2">
        <v>0.91788493253886549</v>
      </c>
      <c r="H150" s="2">
        <v>0.94042842722032127</v>
      </c>
      <c r="I150" s="2">
        <v>0.92925038037807495</v>
      </c>
      <c r="J150" s="2">
        <v>0.86817508495029527</v>
      </c>
      <c r="K150" s="2">
        <v>0.83456349177916489</v>
      </c>
      <c r="L150" s="2">
        <v>0.80545315863259992</v>
      </c>
      <c r="M150" s="2">
        <v>0.80598322139858714</v>
      </c>
    </row>
    <row r="151" spans="1:13" x14ac:dyDescent="0.2">
      <c r="A151" s="2">
        <v>5</v>
      </c>
      <c r="B151" s="2">
        <v>260625</v>
      </c>
      <c r="C151" s="2" t="s">
        <v>85</v>
      </c>
      <c r="D151" s="2" t="s">
        <v>60</v>
      </c>
      <c r="E151" s="2" t="s">
        <v>86</v>
      </c>
      <c r="F151" s="2">
        <v>0.83651742216273772</v>
      </c>
      <c r="G151" s="2">
        <v>0.8268646089499776</v>
      </c>
      <c r="H151" s="2">
        <v>0.85527347856476232</v>
      </c>
      <c r="I151" s="2">
        <v>0.85705767901361629</v>
      </c>
      <c r="J151" s="2">
        <v>0.8246498167428622</v>
      </c>
      <c r="K151" s="2">
        <v>0.80244416156031362</v>
      </c>
      <c r="L151" s="2">
        <v>0.78765837284689699</v>
      </c>
      <c r="M151" s="2">
        <v>0.79046303739450552</v>
      </c>
    </row>
    <row r="152" spans="1:13" x14ac:dyDescent="0.2">
      <c r="A152" s="2">
        <v>5</v>
      </c>
      <c r="B152" s="2">
        <v>260625</v>
      </c>
      <c r="C152" s="2" t="s">
        <v>34</v>
      </c>
      <c r="D152" s="2" t="s">
        <v>60</v>
      </c>
      <c r="E152" s="2" t="s">
        <v>87</v>
      </c>
      <c r="F152" s="2">
        <v>0.98901174236568079</v>
      </c>
      <c r="G152" s="2">
        <v>0.97182153537951632</v>
      </c>
      <c r="H152" s="2">
        <v>0.9812747222395205</v>
      </c>
      <c r="I152" s="2">
        <v>0.98907576390429286</v>
      </c>
      <c r="J152" s="2">
        <v>0.99152212306205856</v>
      </c>
      <c r="K152" s="2">
        <v>0.98943691563396352</v>
      </c>
      <c r="L152" s="2">
        <v>0.98893796514403831</v>
      </c>
      <c r="M152" s="2">
        <v>0.98764663223544957</v>
      </c>
    </row>
    <row r="153" spans="1:13" x14ac:dyDescent="0.2">
      <c r="A153" s="2">
        <v>5</v>
      </c>
      <c r="B153" s="2">
        <v>260625</v>
      </c>
      <c r="C153" s="2" t="s">
        <v>32</v>
      </c>
      <c r="D153" s="2" t="s">
        <v>60</v>
      </c>
      <c r="E153" s="2" t="s">
        <v>88</v>
      </c>
      <c r="F153" s="2">
        <v>0.99141705789337653</v>
      </c>
      <c r="G153" s="2">
        <v>0.9805085462901113</v>
      </c>
      <c r="H153" s="2">
        <v>0.98543559667636982</v>
      </c>
      <c r="I153" s="2">
        <v>0.99343732338796154</v>
      </c>
      <c r="J153" s="2">
        <v>0.99711516627479224</v>
      </c>
      <c r="K153" s="2">
        <v>0.99705236527545349</v>
      </c>
      <c r="L153" s="2">
        <v>0.99651334207480846</v>
      </c>
      <c r="M153" s="2">
        <v>0.9964791493534616</v>
      </c>
    </row>
    <row r="154" spans="1:13" x14ac:dyDescent="0.2">
      <c r="A154" s="2">
        <v>6</v>
      </c>
      <c r="B154" s="2">
        <v>260702</v>
      </c>
      <c r="C154" s="2" t="s">
        <v>45</v>
      </c>
      <c r="D154" s="2" t="s">
        <v>60</v>
      </c>
      <c r="E154" s="2" t="s">
        <v>89</v>
      </c>
      <c r="F154" s="2">
        <v>0.88499774295692535</v>
      </c>
      <c r="G154" s="2">
        <v>0.85340304202393047</v>
      </c>
      <c r="H154" s="2">
        <v>0.8241276481273504</v>
      </c>
      <c r="I154" s="2">
        <v>0.73875806791370968</v>
      </c>
      <c r="J154" s="2">
        <v>0.69955879320177461</v>
      </c>
      <c r="K154" s="2">
        <v>0.73196946474096247</v>
      </c>
      <c r="L154" s="2">
        <v>0.76430027032897419</v>
      </c>
      <c r="M154" s="2">
        <v>0.81995060837018396</v>
      </c>
    </row>
    <row r="155" spans="1:13" x14ac:dyDescent="0.2">
      <c r="A155" s="2">
        <v>6</v>
      </c>
      <c r="B155" s="2">
        <v>260702</v>
      </c>
      <c r="C155" s="2" t="s">
        <v>90</v>
      </c>
      <c r="D155" s="2" t="s">
        <v>60</v>
      </c>
      <c r="E155" s="2" t="s">
        <v>91</v>
      </c>
      <c r="F155" s="2">
        <v>0.93714094024472816</v>
      </c>
      <c r="G155" s="2">
        <v>0.93790301659384301</v>
      </c>
      <c r="H155" s="2">
        <v>0.9343854886762395</v>
      </c>
      <c r="I155" s="2">
        <v>0.91331126149907882</v>
      </c>
      <c r="J155" s="2">
        <v>0.89588787397632641</v>
      </c>
      <c r="K155" s="2">
        <v>0.90254066729975624</v>
      </c>
      <c r="L155" s="2">
        <v>0.90626678214639111</v>
      </c>
      <c r="M155" s="2">
        <v>0.91958632173578725</v>
      </c>
    </row>
    <row r="156" spans="1:13" x14ac:dyDescent="0.2">
      <c r="A156" s="2">
        <v>6</v>
      </c>
      <c r="B156" s="2">
        <v>260702</v>
      </c>
      <c r="C156" s="2" t="s">
        <v>92</v>
      </c>
      <c r="D156" s="2" t="s">
        <v>60</v>
      </c>
      <c r="E156" s="2" t="s">
        <v>93</v>
      </c>
      <c r="F156" s="2">
        <v>0.5956541538040514</v>
      </c>
      <c r="G156" s="2">
        <v>0.43149496857654651</v>
      </c>
      <c r="H156" s="2">
        <v>0.37244057411264009</v>
      </c>
      <c r="I156" s="2">
        <v>0.1973221281214638</v>
      </c>
      <c r="J156" s="2">
        <v>0.1281436883989944</v>
      </c>
      <c r="K156" s="2">
        <v>0.15705287492787359</v>
      </c>
      <c r="L156" s="2">
        <v>0.13426382850536189</v>
      </c>
      <c r="M156" s="2">
        <v>0.22831742918384121</v>
      </c>
    </row>
    <row r="157" spans="1:13" x14ac:dyDescent="0.2">
      <c r="A157" s="2">
        <v>6</v>
      </c>
      <c r="B157" s="2">
        <v>260702</v>
      </c>
      <c r="C157" s="2" t="s">
        <v>49</v>
      </c>
      <c r="D157" s="2" t="s">
        <v>60</v>
      </c>
      <c r="E157" s="2" t="s">
        <v>94</v>
      </c>
      <c r="F157" s="2">
        <v>0.9532321697708811</v>
      </c>
      <c r="G157" s="2">
        <v>0.9475046278963537</v>
      </c>
      <c r="H157" s="2">
        <v>0.95634373506580361</v>
      </c>
      <c r="I157" s="2">
        <v>0.93351251030590465</v>
      </c>
      <c r="J157" s="2">
        <v>0.89752644056817033</v>
      </c>
      <c r="K157" s="2">
        <v>0.92210515489096501</v>
      </c>
      <c r="L157" s="2">
        <v>0.9005641261723496</v>
      </c>
      <c r="M157" s="2">
        <v>0.93145687676883793</v>
      </c>
    </row>
    <row r="158" spans="1:13" x14ac:dyDescent="0.2">
      <c r="A158" s="2">
        <v>6</v>
      </c>
      <c r="B158" s="2">
        <v>260702</v>
      </c>
      <c r="C158" s="2" t="s">
        <v>51</v>
      </c>
      <c r="D158" s="2" t="s">
        <v>60</v>
      </c>
      <c r="E158" s="2" t="s">
        <v>95</v>
      </c>
      <c r="F158" s="2">
        <v>0.1582341271774417</v>
      </c>
      <c r="G158" s="2">
        <v>0.22991096812888481</v>
      </c>
      <c r="H158" s="2">
        <v>0.21400879369213269</v>
      </c>
      <c r="I158" s="2">
        <v>0.13202838455175281</v>
      </c>
      <c r="J158" s="2">
        <v>5.5705001979252551E-2</v>
      </c>
      <c r="K158" s="2">
        <v>4.3629421554957262E-2</v>
      </c>
      <c r="L158" s="2">
        <v>3.9398141732333948E-2</v>
      </c>
      <c r="M158" s="2">
        <v>5.7202370130874612E-2</v>
      </c>
    </row>
    <row r="159" spans="1:13" x14ac:dyDescent="0.2">
      <c r="A159" s="2">
        <v>6</v>
      </c>
      <c r="B159" s="2">
        <v>260702</v>
      </c>
      <c r="C159" s="2" t="s">
        <v>53</v>
      </c>
      <c r="D159" s="2" t="s">
        <v>60</v>
      </c>
      <c r="E159" s="2" t="s">
        <v>96</v>
      </c>
      <c r="F159" s="2">
        <v>0.9039760213671596</v>
      </c>
      <c r="G159" s="2">
        <v>0.87102457228734953</v>
      </c>
      <c r="H159" s="2">
        <v>0.895665336344171</v>
      </c>
      <c r="I159" s="2">
        <v>0.89363353673648238</v>
      </c>
      <c r="J159" s="2">
        <v>0.84075995765041678</v>
      </c>
      <c r="K159" s="2">
        <v>0.82621366681181108</v>
      </c>
      <c r="L159" s="2">
        <v>0.7889498017089227</v>
      </c>
      <c r="M159" s="2">
        <v>0.80059276495088938</v>
      </c>
    </row>
    <row r="160" spans="1:13" x14ac:dyDescent="0.2">
      <c r="A160" s="2">
        <v>6</v>
      </c>
      <c r="B160" s="2">
        <v>260702</v>
      </c>
      <c r="C160" s="2" t="s">
        <v>85</v>
      </c>
      <c r="D160" s="2" t="s">
        <v>60</v>
      </c>
      <c r="E160" s="2" t="s">
        <v>97</v>
      </c>
      <c r="F160" s="2">
        <v>0.9280277825553408</v>
      </c>
      <c r="G160" s="2">
        <v>0.92901829445616046</v>
      </c>
      <c r="H160" s="2">
        <v>0.93746634910770399</v>
      </c>
      <c r="I160" s="2">
        <v>0.9421654250993684</v>
      </c>
      <c r="J160" s="2">
        <v>0.92900747196842282</v>
      </c>
      <c r="K160" s="2">
        <v>0.92161964694736664</v>
      </c>
      <c r="L160" s="2">
        <v>0.92395603413888694</v>
      </c>
      <c r="M160" s="2">
        <v>0.93074319961478214</v>
      </c>
    </row>
    <row r="161" spans="1:13" x14ac:dyDescent="0.2">
      <c r="A161" s="2">
        <v>6</v>
      </c>
      <c r="B161" s="2">
        <v>260702</v>
      </c>
      <c r="C161" s="2" t="s">
        <v>34</v>
      </c>
      <c r="D161" s="2" t="s">
        <v>60</v>
      </c>
      <c r="E161" s="2" t="s">
        <v>98</v>
      </c>
      <c r="F161" s="2">
        <v>0.93118839866500547</v>
      </c>
      <c r="G161" s="2">
        <v>0.90744885452864088</v>
      </c>
      <c r="H161" s="2">
        <v>0.92007232363697655</v>
      </c>
      <c r="I161" s="2">
        <v>0.91358378827657527</v>
      </c>
      <c r="J161" s="2">
        <v>0.89063445690861132</v>
      </c>
      <c r="K161" s="2">
        <v>0.87848169927692443</v>
      </c>
      <c r="L161" s="2">
        <v>0.85956772709564311</v>
      </c>
      <c r="M161" s="2">
        <v>0.86661910756747007</v>
      </c>
    </row>
    <row r="162" spans="1:13" x14ac:dyDescent="0.2">
      <c r="A162" s="2">
        <v>6</v>
      </c>
      <c r="B162" s="2">
        <v>260702</v>
      </c>
      <c r="C162" s="2" t="s">
        <v>32</v>
      </c>
      <c r="D162" s="2" t="s">
        <v>60</v>
      </c>
      <c r="E162" s="2" t="s">
        <v>99</v>
      </c>
      <c r="F162" s="2">
        <v>0.98462671583437333</v>
      </c>
      <c r="G162" s="2">
        <v>0.97027142376074238</v>
      </c>
      <c r="H162" s="2">
        <v>0.97453764688203548</v>
      </c>
      <c r="I162" s="2">
        <v>0.97924337170402009</v>
      </c>
      <c r="J162" s="2">
        <v>0.97876223714762911</v>
      </c>
      <c r="K162" s="2">
        <v>0.97817951263727643</v>
      </c>
      <c r="L162" s="2">
        <v>0.97555174172865344</v>
      </c>
      <c r="M162" s="2">
        <v>0.97715018039260348</v>
      </c>
    </row>
    <row r="163" spans="1:13" x14ac:dyDescent="0.2">
      <c r="A163" s="2">
        <v>7</v>
      </c>
      <c r="B163" s="2">
        <v>260709</v>
      </c>
      <c r="C163" s="2" t="s">
        <v>36</v>
      </c>
      <c r="D163" s="2" t="s">
        <v>60</v>
      </c>
      <c r="E163" s="2" t="s">
        <v>100</v>
      </c>
      <c r="F163" s="2">
        <v>0.83340495141296722</v>
      </c>
      <c r="G163" s="2">
        <v>0.85898829127867127</v>
      </c>
      <c r="H163" s="2">
        <v>0.88299191921673892</v>
      </c>
      <c r="I163" s="2">
        <v>0.87001303565434773</v>
      </c>
      <c r="J163" s="2">
        <v>0.8215943619622128</v>
      </c>
      <c r="K163" s="2">
        <v>0.79116365379385178</v>
      </c>
      <c r="L163" s="2">
        <v>0.73807305153543001</v>
      </c>
      <c r="M163" s="2">
        <v>0.70147168513899993</v>
      </c>
    </row>
    <row r="164" spans="1:13" x14ac:dyDescent="0.2">
      <c r="A164" s="2">
        <v>7</v>
      </c>
      <c r="B164" s="2">
        <v>260709</v>
      </c>
      <c r="C164" s="2" t="s">
        <v>19</v>
      </c>
      <c r="D164" s="2" t="s">
        <v>60</v>
      </c>
      <c r="E164" s="2" t="s">
        <v>101</v>
      </c>
      <c r="F164" s="2">
        <v>0.99456616359501782</v>
      </c>
      <c r="G164" s="2">
        <v>0.9889256380218856</v>
      </c>
      <c r="H164" s="2">
        <v>0.99028737347134488</v>
      </c>
      <c r="I164" s="2">
        <v>0.99552774208855999</v>
      </c>
      <c r="J164" s="2">
        <v>0.9977148004275489</v>
      </c>
      <c r="K164" s="2">
        <v>0.99718981568512488</v>
      </c>
      <c r="L164" s="2">
        <v>0.99677676309891727</v>
      </c>
      <c r="M164" s="2">
        <v>0.99726971164922151</v>
      </c>
    </row>
    <row r="165" spans="1:13" x14ac:dyDescent="0.2">
      <c r="A165" s="2">
        <v>7</v>
      </c>
      <c r="B165" s="2">
        <v>260709</v>
      </c>
      <c r="C165" s="2" t="s">
        <v>22</v>
      </c>
      <c r="D165" s="2" t="s">
        <v>60</v>
      </c>
      <c r="E165" s="2" t="s">
        <v>102</v>
      </c>
      <c r="F165" s="2">
        <v>0.82033757447753475</v>
      </c>
      <c r="G165" s="2">
        <v>0.76386077259205809</v>
      </c>
      <c r="H165" s="2">
        <v>0.79633966985643823</v>
      </c>
      <c r="I165" s="2">
        <v>0.7771059117983693</v>
      </c>
      <c r="J165" s="2">
        <v>0.70825141477732045</v>
      </c>
      <c r="K165" s="2">
        <v>0.7175416566802475</v>
      </c>
      <c r="L165" s="2">
        <v>0.64507420680566263</v>
      </c>
      <c r="M165" s="2">
        <v>0.64709654584562626</v>
      </c>
    </row>
    <row r="166" spans="1:13" x14ac:dyDescent="0.2">
      <c r="A166" s="2">
        <v>7</v>
      </c>
      <c r="B166" s="2">
        <v>260709</v>
      </c>
      <c r="C166" s="2" t="s">
        <v>24</v>
      </c>
      <c r="D166" s="2" t="s">
        <v>60</v>
      </c>
      <c r="E166" s="2" t="s">
        <v>103</v>
      </c>
      <c r="F166" s="2">
        <v>0.94111482417161618</v>
      </c>
      <c r="G166" s="2">
        <v>0.94600228831864797</v>
      </c>
      <c r="H166" s="2">
        <v>0.93541540390852207</v>
      </c>
      <c r="I166" s="2">
        <v>0.95053605116730255</v>
      </c>
      <c r="J166" s="2">
        <v>0.9532263519971258</v>
      </c>
      <c r="K166" s="2">
        <v>0.94626866605852011</v>
      </c>
      <c r="L166" s="2">
        <v>0.9358065128913019</v>
      </c>
      <c r="M166" s="2">
        <v>0.94529841689762462</v>
      </c>
    </row>
    <row r="167" spans="1:13" x14ac:dyDescent="0.2">
      <c r="A167" s="2">
        <v>7</v>
      </c>
      <c r="B167" s="2">
        <v>260709</v>
      </c>
      <c r="C167" s="2" t="s">
        <v>70</v>
      </c>
      <c r="D167" s="2" t="s">
        <v>60</v>
      </c>
      <c r="E167" s="2" t="s">
        <v>104</v>
      </c>
      <c r="F167" s="2">
        <v>0.93277924600166029</v>
      </c>
      <c r="G167" s="2">
        <v>0.92335003974506402</v>
      </c>
      <c r="H167" s="2">
        <v>0.92814334561045286</v>
      </c>
      <c r="I167" s="2">
        <v>0.94793089026286304</v>
      </c>
      <c r="J167" s="2">
        <v>0.95670113442403326</v>
      </c>
      <c r="K167" s="2">
        <v>0.95148339271100402</v>
      </c>
      <c r="L167" s="2">
        <v>0.93617131240200124</v>
      </c>
      <c r="M167" s="2">
        <v>0.92477026041951382</v>
      </c>
    </row>
    <row r="168" spans="1:13" x14ac:dyDescent="0.2">
      <c r="A168" s="2">
        <v>7</v>
      </c>
      <c r="B168" s="2">
        <v>260709</v>
      </c>
      <c r="C168" s="2" t="s">
        <v>72</v>
      </c>
      <c r="D168" s="2" t="s">
        <v>60</v>
      </c>
      <c r="E168" s="2" t="s">
        <v>105</v>
      </c>
      <c r="F168" s="2">
        <v>0.97788571527515511</v>
      </c>
      <c r="G168" s="2">
        <v>0.9547355797483128</v>
      </c>
      <c r="H168" s="2">
        <v>0.94816943114228003</v>
      </c>
      <c r="I168" s="2">
        <v>0.96649343728694748</v>
      </c>
      <c r="J168" s="2">
        <v>0.9677829682346365</v>
      </c>
      <c r="K168" s="2">
        <v>0.97225102046573464</v>
      </c>
      <c r="L168" s="2">
        <v>0.95120496385556641</v>
      </c>
      <c r="M168" s="2">
        <v>0.95908289388646706</v>
      </c>
    </row>
    <row r="169" spans="1:13" x14ac:dyDescent="0.2">
      <c r="A169" s="2">
        <v>7</v>
      </c>
      <c r="B169" s="2">
        <v>260709</v>
      </c>
      <c r="C169" s="2" t="s">
        <v>43</v>
      </c>
      <c r="D169" s="2" t="s">
        <v>60</v>
      </c>
      <c r="E169" s="2" t="s">
        <v>106</v>
      </c>
      <c r="F169" s="2">
        <v>0.89671448142105092</v>
      </c>
      <c r="G169" s="2">
        <v>0.89644608631804401</v>
      </c>
      <c r="H169" s="2">
        <v>0.88918364360412838</v>
      </c>
      <c r="I169" s="2">
        <v>0.90100447263267092</v>
      </c>
      <c r="J169" s="2">
        <v>0.9129359463893012</v>
      </c>
      <c r="K169" s="2">
        <v>0.90506436496025999</v>
      </c>
      <c r="L169" s="2">
        <v>0.89680426434689575</v>
      </c>
      <c r="M169" s="2">
        <v>0.89315407742625763</v>
      </c>
    </row>
    <row r="170" spans="1:13" x14ac:dyDescent="0.2">
      <c r="A170" s="2">
        <v>8</v>
      </c>
      <c r="B170" s="2">
        <v>260716</v>
      </c>
      <c r="C170" s="2" t="s">
        <v>45</v>
      </c>
      <c r="D170" s="2" t="s">
        <v>60</v>
      </c>
      <c r="E170" s="2" t="s">
        <v>107</v>
      </c>
      <c r="F170" s="2">
        <v>0.98109061108633033</v>
      </c>
      <c r="G170" s="2">
        <v>0.97176007452905488</v>
      </c>
      <c r="H170" s="2">
        <v>0.96488206297589674</v>
      </c>
      <c r="I170" s="2">
        <v>0.95802663119963383</v>
      </c>
      <c r="J170" s="2">
        <v>0.94858260766938529</v>
      </c>
      <c r="K170" s="2">
        <v>0.96068247548494079</v>
      </c>
      <c r="L170" s="2">
        <v>0.96054778935845342</v>
      </c>
      <c r="M170" s="2">
        <v>0.96641386898080328</v>
      </c>
    </row>
    <row r="171" spans="1:13" x14ac:dyDescent="0.2">
      <c r="A171" s="2">
        <v>8</v>
      </c>
      <c r="B171" s="2">
        <v>260716</v>
      </c>
      <c r="C171" s="2" t="s">
        <v>47</v>
      </c>
      <c r="D171" s="2" t="s">
        <v>60</v>
      </c>
      <c r="E171" s="2" t="s">
        <v>108</v>
      </c>
      <c r="F171" s="2">
        <v>0.78941284598056638</v>
      </c>
      <c r="G171" s="2">
        <v>0.77774581985728908</v>
      </c>
      <c r="H171" s="2">
        <v>0.74263645477336504</v>
      </c>
      <c r="I171" s="2">
        <v>0.66279579952489043</v>
      </c>
      <c r="J171" s="2">
        <v>0.58704938215000391</v>
      </c>
      <c r="K171" s="2">
        <v>0.59046520510955902</v>
      </c>
      <c r="L171" s="2">
        <v>0.61519407395656678</v>
      </c>
      <c r="M171" s="2">
        <v>0.67770182027425374</v>
      </c>
    </row>
    <row r="172" spans="1:13" x14ac:dyDescent="0.2">
      <c r="A172" s="2">
        <v>8</v>
      </c>
      <c r="B172" s="2">
        <v>260716</v>
      </c>
      <c r="C172" s="2" t="s">
        <v>49</v>
      </c>
      <c r="D172" s="2" t="s">
        <v>60</v>
      </c>
      <c r="E172" s="2" t="s">
        <v>109</v>
      </c>
      <c r="F172" s="2">
        <v>0.45859997568142619</v>
      </c>
      <c r="G172" s="2">
        <v>0.55059941163032755</v>
      </c>
      <c r="H172" s="2">
        <v>0.50173989964922128</v>
      </c>
      <c r="I172" s="2">
        <v>0.38101194885871231</v>
      </c>
      <c r="J172" s="2">
        <v>0.26267467680281359</v>
      </c>
      <c r="K172" s="2">
        <v>0.22729342055473739</v>
      </c>
      <c r="L172" s="2">
        <v>0.25241837974794168</v>
      </c>
      <c r="M172" s="2">
        <v>0.29313294297627512</v>
      </c>
    </row>
    <row r="173" spans="1:13" x14ac:dyDescent="0.2">
      <c r="A173" s="2">
        <v>8</v>
      </c>
      <c r="B173" s="2">
        <v>260716</v>
      </c>
      <c r="C173" s="2" t="s">
        <v>51</v>
      </c>
      <c r="D173" s="2" t="s">
        <v>60</v>
      </c>
      <c r="E173" s="2" t="s">
        <v>110</v>
      </c>
      <c r="F173" s="2">
        <v>0.7728319929668358</v>
      </c>
      <c r="G173" s="2">
        <v>0.80235222023962116</v>
      </c>
      <c r="H173" s="2">
        <v>0.82547422850811192</v>
      </c>
      <c r="I173" s="2">
        <v>0.79986413804568013</v>
      </c>
      <c r="J173" s="2">
        <v>0.75579034280684532</v>
      </c>
      <c r="K173" s="2">
        <v>0.72652930800590687</v>
      </c>
      <c r="L173" s="2">
        <v>0.71321532512291375</v>
      </c>
      <c r="M173" s="2">
        <v>0.71936516807819217</v>
      </c>
    </row>
    <row r="174" spans="1:13" x14ac:dyDescent="0.2">
      <c r="A174" s="2">
        <v>8</v>
      </c>
      <c r="B174" s="2">
        <v>260716</v>
      </c>
      <c r="C174" s="2" t="s">
        <v>53</v>
      </c>
      <c r="D174" s="2" t="s">
        <v>60</v>
      </c>
      <c r="E174" s="2" t="s">
        <v>111</v>
      </c>
      <c r="F174" s="2">
        <v>0.98756448157196008</v>
      </c>
      <c r="G174" s="2">
        <v>0.9644569086431467</v>
      </c>
      <c r="H174" s="2">
        <v>0.97172131251772831</v>
      </c>
      <c r="I174" s="2">
        <v>0.99244963008700049</v>
      </c>
      <c r="J174" s="2">
        <v>0.99444467012929916</v>
      </c>
      <c r="K174" s="2">
        <v>0.99513141995236742</v>
      </c>
      <c r="L174" s="2">
        <v>0.99440293435058236</v>
      </c>
      <c r="M174" s="2">
        <v>0.99429019722607326</v>
      </c>
    </row>
    <row r="175" spans="1:13" x14ac:dyDescent="0.2">
      <c r="A175" s="2">
        <v>8</v>
      </c>
      <c r="B175" s="2">
        <v>260716</v>
      </c>
      <c r="C175" s="2" t="s">
        <v>85</v>
      </c>
      <c r="D175" s="2" t="s">
        <v>60</v>
      </c>
      <c r="E175" s="2" t="s">
        <v>112</v>
      </c>
      <c r="F175" s="2">
        <v>0.97008299859482661</v>
      </c>
      <c r="G175" s="2">
        <v>0.93494891192208718</v>
      </c>
      <c r="H175" s="2">
        <v>0.97409167498834526</v>
      </c>
      <c r="I175" s="2">
        <v>0.98688031909393892</v>
      </c>
      <c r="J175" s="2">
        <v>0.98912084237930231</v>
      </c>
      <c r="K175" s="2">
        <v>0.98882702420651991</v>
      </c>
      <c r="L175" s="2">
        <v>0.99021484478580257</v>
      </c>
      <c r="M175" s="2">
        <v>0.99140635044150249</v>
      </c>
    </row>
    <row r="176" spans="1:13" x14ac:dyDescent="0.2">
      <c r="A176" s="2">
        <v>8</v>
      </c>
      <c r="B176" s="2">
        <v>260716</v>
      </c>
      <c r="C176" s="2" t="s">
        <v>36</v>
      </c>
      <c r="D176" s="2" t="s">
        <v>60</v>
      </c>
      <c r="E176" s="2" t="s">
        <v>113</v>
      </c>
      <c r="F176" s="2">
        <v>0.98460020849230834</v>
      </c>
      <c r="G176" s="2">
        <v>0.96791638088450482</v>
      </c>
      <c r="H176" s="2">
        <v>0.97915264071175812</v>
      </c>
      <c r="I176" s="2">
        <v>0.98670666791435235</v>
      </c>
      <c r="J176" s="2">
        <v>0.98963899568195179</v>
      </c>
      <c r="K176" s="2">
        <v>0.98952321502189866</v>
      </c>
      <c r="L176" s="2">
        <v>0.98869141576330488</v>
      </c>
      <c r="M176" s="2">
        <v>0.98964861340947863</v>
      </c>
    </row>
    <row r="177" spans="1:13" x14ac:dyDescent="0.2">
      <c r="A177" s="2">
        <v>9</v>
      </c>
      <c r="B177" s="2">
        <v>260728</v>
      </c>
      <c r="C177" s="2" t="s">
        <v>19</v>
      </c>
      <c r="D177" s="2" t="s">
        <v>60</v>
      </c>
      <c r="E177" s="2" t="s">
        <v>114</v>
      </c>
      <c r="F177" s="2">
        <v>0.98092606947493532</v>
      </c>
      <c r="G177" s="2">
        <v>0.9752642832717684</v>
      </c>
      <c r="H177" s="2">
        <v>0.98611818260218442</v>
      </c>
      <c r="I177" s="2">
        <v>0.99206455977595953</v>
      </c>
      <c r="J177" s="2">
        <v>0.9920001395631205</v>
      </c>
      <c r="K177" s="2">
        <v>0.9889597473003916</v>
      </c>
      <c r="L177" s="2">
        <v>0.9865675896213445</v>
      </c>
      <c r="M177" s="2">
        <v>0.98213829551227805</v>
      </c>
    </row>
    <row r="178" spans="1:13" x14ac:dyDescent="0.2">
      <c r="A178" s="2">
        <v>9</v>
      </c>
      <c r="B178" s="2">
        <v>260728</v>
      </c>
      <c r="C178" s="2" t="s">
        <v>62</v>
      </c>
      <c r="D178" s="2" t="s">
        <v>60</v>
      </c>
      <c r="E178" s="2" t="s">
        <v>115</v>
      </c>
      <c r="F178" s="2">
        <v>0.96227926308366551</v>
      </c>
      <c r="G178" s="2">
        <v>0.93894455505362506</v>
      </c>
      <c r="H178" s="2">
        <v>0.95772982573707066</v>
      </c>
      <c r="I178" s="2">
        <v>0.98107148783687281</v>
      </c>
      <c r="J178" s="2">
        <v>0.97975665679084911</v>
      </c>
      <c r="K178" s="2">
        <v>0.97473495668615484</v>
      </c>
      <c r="L178" s="2">
        <v>0.96623230463362575</v>
      </c>
      <c r="M178" s="2">
        <v>0.96035572441561767</v>
      </c>
    </row>
    <row r="179" spans="1:13" x14ac:dyDescent="0.2">
      <c r="A179" s="2">
        <v>9</v>
      </c>
      <c r="B179" s="2">
        <v>260728</v>
      </c>
      <c r="C179" s="2" t="s">
        <v>64</v>
      </c>
      <c r="D179" s="2" t="s">
        <v>60</v>
      </c>
      <c r="E179" s="2" t="s">
        <v>116</v>
      </c>
      <c r="F179" s="2">
        <v>0.97878693550766072</v>
      </c>
      <c r="G179" s="2">
        <v>0.96919432934077554</v>
      </c>
      <c r="H179" s="2">
        <v>0.97415618846528018</v>
      </c>
      <c r="I179" s="2">
        <v>0.97952755481124665</v>
      </c>
      <c r="J179" s="2">
        <v>0.98084552188518437</v>
      </c>
      <c r="K179" s="2">
        <v>0.97803617506363616</v>
      </c>
      <c r="L179" s="2">
        <v>0.97482735402064624</v>
      </c>
      <c r="M179" s="2">
        <v>0.97613329369518309</v>
      </c>
    </row>
    <row r="180" spans="1:13" x14ac:dyDescent="0.2">
      <c r="A180" s="2">
        <v>9</v>
      </c>
      <c r="B180" s="2">
        <v>260728</v>
      </c>
      <c r="C180" s="2" t="s">
        <v>24</v>
      </c>
      <c r="D180" s="2" t="s">
        <v>60</v>
      </c>
      <c r="E180" s="2" t="s">
        <v>117</v>
      </c>
      <c r="F180" s="2">
        <v>0.98405993713950879</v>
      </c>
      <c r="G180" s="2">
        <v>0.96966288700862535</v>
      </c>
      <c r="H180" s="2">
        <v>0.97870648593515319</v>
      </c>
      <c r="I180" s="2">
        <v>0.99112274173795145</v>
      </c>
      <c r="J180" s="2">
        <v>0.98854558739434051</v>
      </c>
      <c r="K180" s="2">
        <v>0.98759681614487005</v>
      </c>
      <c r="L180" s="2">
        <v>0.98682863704884671</v>
      </c>
      <c r="M180" s="2">
        <v>0.98722231578293118</v>
      </c>
    </row>
    <row r="181" spans="1:13" x14ac:dyDescent="0.2">
      <c r="A181" s="2">
        <v>9</v>
      </c>
      <c r="B181" s="2">
        <v>260728</v>
      </c>
      <c r="C181" s="2" t="s">
        <v>26</v>
      </c>
      <c r="D181" s="2" t="s">
        <v>60</v>
      </c>
      <c r="E181" s="2" t="s">
        <v>118</v>
      </c>
      <c r="F181" s="2">
        <v>0.94052372341756452</v>
      </c>
      <c r="G181" s="2">
        <v>0.93993435759986632</v>
      </c>
      <c r="H181" s="2">
        <v>0.9556583034455427</v>
      </c>
      <c r="I181" s="2">
        <v>0.95551696100685979</v>
      </c>
      <c r="J181" s="2">
        <v>0.94907080334814176</v>
      </c>
      <c r="K181" s="2">
        <v>0.93411465746294431</v>
      </c>
      <c r="L181" s="2">
        <v>0.92083919490403121</v>
      </c>
      <c r="M181" s="2">
        <v>0.92012114833914893</v>
      </c>
    </row>
    <row r="182" spans="1:13" x14ac:dyDescent="0.2">
      <c r="A182" s="2">
        <v>9</v>
      </c>
      <c r="B182" s="2">
        <v>260728</v>
      </c>
      <c r="C182" s="2" t="s">
        <v>43</v>
      </c>
      <c r="D182" s="2" t="s">
        <v>60</v>
      </c>
      <c r="E182" s="2" t="s">
        <v>119</v>
      </c>
      <c r="F182" s="2">
        <v>0.98912717474021661</v>
      </c>
      <c r="G182" s="2">
        <v>0.97932705815858667</v>
      </c>
      <c r="H182" s="2">
        <v>0.99066113970289704</v>
      </c>
      <c r="I182" s="2">
        <v>0.99194354723269751</v>
      </c>
      <c r="J182" s="2">
        <v>0.99305217188575645</v>
      </c>
      <c r="K182" s="2">
        <v>0.99262137166505926</v>
      </c>
      <c r="L182" s="2">
        <v>0.99118961322968402</v>
      </c>
      <c r="M182" s="2">
        <v>0.99219578187327429</v>
      </c>
    </row>
    <row r="183" spans="1:13" x14ac:dyDescent="0.2">
      <c r="A183" s="2">
        <v>9</v>
      </c>
      <c r="B183" s="2">
        <v>260728</v>
      </c>
      <c r="C183" s="2" t="s">
        <v>120</v>
      </c>
      <c r="D183" s="2" t="s">
        <v>60</v>
      </c>
      <c r="E183" s="2" t="s">
        <v>121</v>
      </c>
      <c r="F183" s="2">
        <v>0.96254642734236395</v>
      </c>
      <c r="G183" s="2">
        <v>0.94763196773977243</v>
      </c>
      <c r="H183" s="2">
        <v>0.95657759883831139</v>
      </c>
      <c r="I183" s="2">
        <v>0.96122720939418271</v>
      </c>
      <c r="J183" s="2">
        <v>0.95901489978682397</v>
      </c>
      <c r="K183" s="2">
        <v>0.95937358943594986</v>
      </c>
      <c r="L183" s="2">
        <v>0.949214577921491</v>
      </c>
      <c r="M183" s="2">
        <v>0.94513741641191329</v>
      </c>
    </row>
    <row r="184" spans="1:13" x14ac:dyDescent="0.2">
      <c r="A184" s="2">
        <v>9</v>
      </c>
      <c r="B184" s="2">
        <v>260728</v>
      </c>
      <c r="C184" s="2" t="s">
        <v>122</v>
      </c>
      <c r="D184" s="2" t="s">
        <v>60</v>
      </c>
      <c r="E184" s="2" t="s">
        <v>123</v>
      </c>
      <c r="F184" s="2">
        <v>0.75019800964306549</v>
      </c>
      <c r="G184" s="2">
        <v>0.76648309891770905</v>
      </c>
      <c r="H184" s="2">
        <v>0.77205528297035819</v>
      </c>
      <c r="I184" s="2">
        <v>0.75623845551401192</v>
      </c>
      <c r="J184" s="2">
        <v>0.74672301552644871</v>
      </c>
      <c r="K184" s="2">
        <v>0.72828503699689673</v>
      </c>
      <c r="L184" s="2">
        <v>0.71466713418660688</v>
      </c>
      <c r="M184" s="2">
        <v>0.71299142839545715</v>
      </c>
    </row>
    <row r="185" spans="1:13" x14ac:dyDescent="0.2">
      <c r="A185" s="2">
        <v>9</v>
      </c>
      <c r="B185" s="2">
        <v>260728</v>
      </c>
      <c r="C185" s="2" t="s">
        <v>34</v>
      </c>
      <c r="D185" s="2" t="s">
        <v>60</v>
      </c>
      <c r="E185" s="2" t="s">
        <v>124</v>
      </c>
      <c r="F185" s="2">
        <v>0.96320613643439257</v>
      </c>
      <c r="G185" s="2">
        <v>0.97065245606125661</v>
      </c>
      <c r="H185" s="2">
        <v>0.98419201646274568</v>
      </c>
      <c r="I185" s="2">
        <v>0.98762078478448934</v>
      </c>
      <c r="J185" s="2">
        <v>0.97159440853983148</v>
      </c>
      <c r="K185" s="2">
        <v>0.96090501812149409</v>
      </c>
      <c r="L185" s="2">
        <v>0.94550906128671031</v>
      </c>
      <c r="M185" s="2">
        <v>0.92880515084661552</v>
      </c>
    </row>
    <row r="186" spans="1:13" x14ac:dyDescent="0.2">
      <c r="A186" s="2">
        <v>10</v>
      </c>
      <c r="B186" s="2">
        <v>260805</v>
      </c>
      <c r="C186" s="2" t="s">
        <v>45</v>
      </c>
      <c r="D186" s="2" t="s">
        <v>60</v>
      </c>
      <c r="E186" s="2" t="s">
        <v>125</v>
      </c>
      <c r="F186" s="2">
        <v>0.93030810567856004</v>
      </c>
      <c r="G186" s="2">
        <v>0.92729759135027356</v>
      </c>
      <c r="H186" s="2">
        <v>0.91203816735034349</v>
      </c>
      <c r="I186" s="2">
        <v>0.88501419751617927</v>
      </c>
      <c r="J186" s="2">
        <v>0.85253339828636199</v>
      </c>
      <c r="K186" s="2">
        <v>0.85310084175005174</v>
      </c>
      <c r="L186" s="2">
        <v>0.8565303954653456</v>
      </c>
      <c r="M186" s="2">
        <v>0.88642164188886019</v>
      </c>
    </row>
    <row r="187" spans="1:13" x14ac:dyDescent="0.2">
      <c r="A187" s="2">
        <v>10</v>
      </c>
      <c r="B187" s="2">
        <v>260805</v>
      </c>
      <c r="C187" s="2" t="s">
        <v>47</v>
      </c>
      <c r="D187" s="2" t="s">
        <v>60</v>
      </c>
      <c r="E187" s="2" t="s">
        <v>126</v>
      </c>
      <c r="F187" s="2">
        <v>0.97211132978924764</v>
      </c>
      <c r="G187" s="2">
        <v>0.97714303668345015</v>
      </c>
      <c r="H187" s="2">
        <v>0.97562485976435953</v>
      </c>
      <c r="I187" s="2">
        <v>0.97081543751804045</v>
      </c>
      <c r="J187" s="2">
        <v>0.96549365325562453</v>
      </c>
      <c r="K187" s="2">
        <v>0.96601612753632982</v>
      </c>
      <c r="L187" s="2">
        <v>0.96940186766873004</v>
      </c>
      <c r="M187" s="2">
        <v>0.97439008410185413</v>
      </c>
    </row>
    <row r="188" spans="1:13" x14ac:dyDescent="0.2">
      <c r="A188" s="2">
        <v>10</v>
      </c>
      <c r="B188" s="2">
        <v>260805</v>
      </c>
      <c r="C188" s="2" t="s">
        <v>49</v>
      </c>
      <c r="D188" s="2" t="s">
        <v>60</v>
      </c>
      <c r="E188" s="2" t="s">
        <v>127</v>
      </c>
      <c r="F188" s="2">
        <v>0.87166450770934056</v>
      </c>
      <c r="G188" s="2">
        <v>0.87589724550465942</v>
      </c>
      <c r="H188" s="2">
        <v>0.88419763204735569</v>
      </c>
      <c r="I188" s="2">
        <v>0.86253715803563991</v>
      </c>
      <c r="J188" s="2">
        <v>0.84157287143989068</v>
      </c>
      <c r="K188" s="2">
        <v>0.82900586937865173</v>
      </c>
      <c r="L188" s="2">
        <v>0.81656071031903865</v>
      </c>
      <c r="M188" s="2">
        <v>0.82859021128448296</v>
      </c>
    </row>
    <row r="189" spans="1:13" x14ac:dyDescent="0.2">
      <c r="A189" s="2">
        <v>10</v>
      </c>
      <c r="B189" s="2">
        <v>260805</v>
      </c>
      <c r="C189" s="2" t="s">
        <v>51</v>
      </c>
      <c r="D189" s="2" t="s">
        <v>60</v>
      </c>
      <c r="E189" s="2" t="s">
        <v>128</v>
      </c>
      <c r="F189" s="2">
        <v>0.93748940306991824</v>
      </c>
      <c r="G189" s="2">
        <v>0.92184776070245045</v>
      </c>
      <c r="H189" s="2">
        <v>0.93926162603946162</v>
      </c>
      <c r="I189" s="2">
        <v>0.94153819474003875</v>
      </c>
      <c r="J189" s="2">
        <v>0.92551530271657501</v>
      </c>
      <c r="K189" s="2">
        <v>0.91735043523935456</v>
      </c>
      <c r="L189" s="2">
        <v>0.90154757942765029</v>
      </c>
      <c r="M189" s="2">
        <v>0.89847403326246822</v>
      </c>
    </row>
    <row r="190" spans="1:13" x14ac:dyDescent="0.2">
      <c r="A190" s="2">
        <v>10</v>
      </c>
      <c r="B190" s="2">
        <v>260805</v>
      </c>
      <c r="C190" s="2" t="s">
        <v>53</v>
      </c>
      <c r="D190" s="2" t="s">
        <v>60</v>
      </c>
      <c r="E190" s="2" t="s">
        <v>129</v>
      </c>
      <c r="F190" s="2">
        <v>0.90112286491764138</v>
      </c>
      <c r="G190" s="2">
        <v>0.8873138912670685</v>
      </c>
      <c r="H190" s="2">
        <v>0.90647730289779838</v>
      </c>
      <c r="I190" s="2">
        <v>0.91018929503486312</v>
      </c>
      <c r="J190" s="2">
        <v>0.89617771067880381</v>
      </c>
      <c r="K190" s="2">
        <v>0.88325079338807677</v>
      </c>
      <c r="L190" s="2">
        <v>0.8507752219701491</v>
      </c>
      <c r="M190" s="2">
        <v>0.82879956533684263</v>
      </c>
    </row>
    <row r="191" spans="1:13" x14ac:dyDescent="0.2">
      <c r="A191" s="2">
        <v>10</v>
      </c>
      <c r="B191" s="2">
        <v>260805</v>
      </c>
      <c r="C191" s="2" t="s">
        <v>120</v>
      </c>
      <c r="D191" s="2" t="s">
        <v>60</v>
      </c>
      <c r="E191" s="2" t="s">
        <v>130</v>
      </c>
      <c r="F191" s="2">
        <v>0.85653482665831038</v>
      </c>
      <c r="G191" s="2">
        <v>0.82771712729919356</v>
      </c>
      <c r="H191" s="2">
        <v>0.84331240328816215</v>
      </c>
      <c r="I191" s="2">
        <v>0.85420106740427659</v>
      </c>
      <c r="J191" s="2">
        <v>0.84678094153533867</v>
      </c>
      <c r="K191" s="2">
        <v>0.84265242736930956</v>
      </c>
      <c r="L191" s="2">
        <v>0.79871264218815696</v>
      </c>
      <c r="M191" s="2">
        <v>0.77369136810619443</v>
      </c>
    </row>
    <row r="192" spans="1:13" x14ac:dyDescent="0.2">
      <c r="A192" s="2">
        <v>10</v>
      </c>
      <c r="B192" s="2">
        <v>260805</v>
      </c>
      <c r="C192" s="2" t="s">
        <v>122</v>
      </c>
      <c r="D192" s="2" t="s">
        <v>60</v>
      </c>
      <c r="E192" s="2" t="s">
        <v>131</v>
      </c>
      <c r="F192" s="2">
        <v>0.71134114853412178</v>
      </c>
      <c r="G192" s="2">
        <v>0.6731843584042263</v>
      </c>
      <c r="H192" s="2">
        <v>0.69894822213214813</v>
      </c>
      <c r="I192" s="2">
        <v>0.70408178205846139</v>
      </c>
      <c r="J192" s="2">
        <v>0.72489516301297274</v>
      </c>
      <c r="K192" s="2">
        <v>0.70940364560593638</v>
      </c>
      <c r="L192" s="2">
        <v>0.6707871821041137</v>
      </c>
      <c r="M192" s="2">
        <v>0.65529702723730943</v>
      </c>
    </row>
    <row r="193" spans="1:13" x14ac:dyDescent="0.2">
      <c r="A193" s="2">
        <v>10</v>
      </c>
      <c r="B193" s="2">
        <v>260805</v>
      </c>
      <c r="C193" s="2" t="s">
        <v>34</v>
      </c>
      <c r="D193" s="2" t="s">
        <v>60</v>
      </c>
      <c r="E193" s="2" t="s">
        <v>132</v>
      </c>
      <c r="F193" s="2">
        <v>0.75575887915731321</v>
      </c>
      <c r="G193" s="2">
        <v>0.72196906718683052</v>
      </c>
      <c r="H193" s="2">
        <v>0.76679419963885875</v>
      </c>
      <c r="I193" s="2">
        <v>0.79217409840043196</v>
      </c>
      <c r="J193" s="2">
        <v>0.77118018754995077</v>
      </c>
      <c r="K193" s="2">
        <v>0.74227100373613497</v>
      </c>
      <c r="L193" s="2">
        <v>0.67076207786044439</v>
      </c>
      <c r="M193" s="2">
        <v>0.6223457047418518</v>
      </c>
    </row>
    <row r="194" spans="1:13" x14ac:dyDescent="0.2">
      <c r="A194" s="2">
        <v>10</v>
      </c>
      <c r="B194" s="2">
        <v>260805</v>
      </c>
      <c r="C194" s="2" t="s">
        <v>85</v>
      </c>
      <c r="D194" s="2" t="s">
        <v>60</v>
      </c>
      <c r="E194" s="2" t="s">
        <v>133</v>
      </c>
      <c r="F194" s="2">
        <v>0.93143043954100879</v>
      </c>
      <c r="G194" s="2">
        <v>0.91184185726460687</v>
      </c>
      <c r="H194" s="2">
        <v>0.92581759831084109</v>
      </c>
      <c r="I194" s="2">
        <v>0.93076139070982133</v>
      </c>
      <c r="J194" s="2">
        <v>0.91653180307210136</v>
      </c>
      <c r="K194" s="2">
        <v>0.90849600520167706</v>
      </c>
      <c r="L194" s="2">
        <v>0.87390348166327303</v>
      </c>
      <c r="M194" s="2">
        <v>0.8677847193545396</v>
      </c>
    </row>
    <row r="195" spans="1:13" x14ac:dyDescent="0.2">
      <c r="A195" s="2">
        <v>11</v>
      </c>
      <c r="B195" s="2">
        <v>260811</v>
      </c>
      <c r="C195" s="2" t="s">
        <v>36</v>
      </c>
      <c r="D195" s="2" t="s">
        <v>60</v>
      </c>
      <c r="E195" s="2" t="s">
        <v>134</v>
      </c>
      <c r="F195" s="2">
        <v>0.99331396464377131</v>
      </c>
      <c r="G195" s="2">
        <v>0.98110275846546524</v>
      </c>
      <c r="H195" s="2">
        <v>0.98556250918367916</v>
      </c>
      <c r="I195" s="2">
        <v>0.98853174301187619</v>
      </c>
      <c r="J195" s="2">
        <v>0.98637922736068917</v>
      </c>
      <c r="K195" s="2">
        <v>0.98798134943784433</v>
      </c>
      <c r="L195" s="2">
        <v>0.98010316029300815</v>
      </c>
      <c r="M195" s="2">
        <v>0.97956396502691212</v>
      </c>
    </row>
    <row r="196" spans="1:13" x14ac:dyDescent="0.2">
      <c r="A196" s="2">
        <v>11</v>
      </c>
      <c r="B196" s="2">
        <v>260811</v>
      </c>
      <c r="C196" s="2" t="s">
        <v>19</v>
      </c>
      <c r="D196" s="2" t="s">
        <v>60</v>
      </c>
      <c r="E196" s="2" t="s">
        <v>135</v>
      </c>
      <c r="F196" s="2">
        <v>0.9625349440027946</v>
      </c>
      <c r="G196" s="2">
        <v>0.93165024815752862</v>
      </c>
      <c r="H196" s="2">
        <v>0.95830333155816416</v>
      </c>
      <c r="I196" s="2">
        <v>0.98579674991066957</v>
      </c>
      <c r="J196" s="2">
        <v>0.97764175607223469</v>
      </c>
      <c r="K196" s="2">
        <v>0.96718168288389905</v>
      </c>
      <c r="L196" s="2">
        <v>0.95013899224569143</v>
      </c>
      <c r="M196" s="2">
        <v>0.93803359237144401</v>
      </c>
    </row>
    <row r="197" spans="1:13" x14ac:dyDescent="0.2">
      <c r="A197" s="2">
        <v>11</v>
      </c>
      <c r="B197" s="2">
        <v>260811</v>
      </c>
      <c r="C197" s="2" t="s">
        <v>22</v>
      </c>
      <c r="D197" s="2" t="s">
        <v>60</v>
      </c>
      <c r="E197" s="2" t="s">
        <v>136</v>
      </c>
      <c r="F197" s="2">
        <v>0.9693515922403706</v>
      </c>
      <c r="G197" s="2">
        <v>0.92566078630881699</v>
      </c>
      <c r="H197" s="2">
        <v>0.9560034695733528</v>
      </c>
      <c r="I197" s="2">
        <v>0.98678280556149522</v>
      </c>
      <c r="J197" s="2">
        <v>0.99045848796123681</v>
      </c>
      <c r="K197" s="2">
        <v>0.98711487455773661</v>
      </c>
      <c r="L197" s="2">
        <v>0.98277628660993133</v>
      </c>
      <c r="M197" s="2">
        <v>0.98017341066968711</v>
      </c>
    </row>
    <row r="198" spans="1:13" x14ac:dyDescent="0.2">
      <c r="A198" s="2">
        <v>11</v>
      </c>
      <c r="B198" s="2">
        <v>260811</v>
      </c>
      <c r="C198" s="2" t="s">
        <v>26</v>
      </c>
      <c r="D198" s="2" t="s">
        <v>20</v>
      </c>
      <c r="E198" s="2" t="s">
        <v>137</v>
      </c>
      <c r="F198" s="2">
        <v>0.77250266132226597</v>
      </c>
      <c r="G198" s="2">
        <v>0.76464260811868889</v>
      </c>
      <c r="H198" s="2">
        <v>0.79367719877231413</v>
      </c>
      <c r="I198" s="2">
        <v>0.8365241557568831</v>
      </c>
      <c r="J198" s="2">
        <v>0.84267833377465284</v>
      </c>
      <c r="K198" s="2">
        <v>0.82714659729154349</v>
      </c>
      <c r="L198" s="2">
        <v>0.77944385939202088</v>
      </c>
      <c r="M198" s="2">
        <v>0.70711032869497858</v>
      </c>
    </row>
    <row r="199" spans="1:13" x14ac:dyDescent="0.2">
      <c r="A199" s="2">
        <v>11</v>
      </c>
      <c r="B199" s="2">
        <v>260811</v>
      </c>
      <c r="C199" s="2" t="s">
        <v>43</v>
      </c>
      <c r="D199" s="2" t="s">
        <v>20</v>
      </c>
      <c r="E199" s="2" t="s">
        <v>138</v>
      </c>
      <c r="F199" s="2">
        <v>0.91212973449131407</v>
      </c>
      <c r="G199" s="2">
        <v>0.91987764681358974</v>
      </c>
      <c r="H199" s="2">
        <v>0.9200839256851262</v>
      </c>
      <c r="I199" s="2">
        <v>0.92308391675885704</v>
      </c>
      <c r="J199" s="2">
        <v>0.9254681378733286</v>
      </c>
      <c r="K199" s="2">
        <v>0.9174444449613679</v>
      </c>
      <c r="L199" s="2">
        <v>0.91149174856920401</v>
      </c>
      <c r="M199" s="2">
        <v>0.90781511626642475</v>
      </c>
    </row>
    <row r="200" spans="1:13" x14ac:dyDescent="0.2">
      <c r="A200" s="2">
        <v>12</v>
      </c>
      <c r="B200" s="2">
        <v>260814</v>
      </c>
      <c r="C200" s="2" t="s">
        <v>45</v>
      </c>
      <c r="D200" s="2" t="s">
        <v>20</v>
      </c>
      <c r="E200" s="2" t="s">
        <v>139</v>
      </c>
      <c r="F200" s="2">
        <v>0.95298821668347167</v>
      </c>
      <c r="G200" s="2">
        <v>0.96218807590016786</v>
      </c>
      <c r="H200" s="2">
        <v>0.95587129248401903</v>
      </c>
      <c r="I200" s="2">
        <v>0.94489823879165824</v>
      </c>
      <c r="J200" s="2">
        <v>0.92860454853601315</v>
      </c>
      <c r="K200" s="2">
        <v>0.93099324656698923</v>
      </c>
      <c r="L200" s="2">
        <v>0.95241158780579083</v>
      </c>
      <c r="M200" s="2">
        <v>0.95819439159029896</v>
      </c>
    </row>
    <row r="201" spans="1:13" x14ac:dyDescent="0.2">
      <c r="A201" s="2">
        <v>12</v>
      </c>
      <c r="B201" s="2">
        <v>260814</v>
      </c>
      <c r="C201" s="2" t="s">
        <v>47</v>
      </c>
      <c r="D201" s="2" t="s">
        <v>20</v>
      </c>
      <c r="E201" s="2" t="s">
        <v>140</v>
      </c>
      <c r="F201" s="2">
        <v>0.54203547962789655</v>
      </c>
      <c r="G201" s="2">
        <v>0.61701539211836842</v>
      </c>
      <c r="H201" s="2">
        <v>0.48220741665773531</v>
      </c>
      <c r="I201" s="2">
        <v>0.33091884713809622</v>
      </c>
      <c r="J201" s="2">
        <v>0.14182572312657549</v>
      </c>
      <c r="K201" s="2">
        <v>0.1310322856191474</v>
      </c>
      <c r="L201" s="2">
        <v>0.23146138428279961</v>
      </c>
      <c r="M201" s="2">
        <v>0.30588043280098609</v>
      </c>
    </row>
    <row r="202" spans="1:13" x14ac:dyDescent="0.2">
      <c r="A202" s="2">
        <v>12</v>
      </c>
      <c r="B202" s="2">
        <v>260814</v>
      </c>
      <c r="C202" s="2" t="s">
        <v>49</v>
      </c>
      <c r="D202" s="2" t="s">
        <v>20</v>
      </c>
      <c r="E202" s="2" t="s">
        <v>141</v>
      </c>
      <c r="F202" s="2">
        <v>0.96199769491375398</v>
      </c>
      <c r="G202" s="2">
        <v>0.95694920740563494</v>
      </c>
      <c r="H202" s="2">
        <v>0.96433182299496523</v>
      </c>
      <c r="I202" s="2">
        <v>0.96655924386462233</v>
      </c>
      <c r="J202" s="2">
        <v>0.95215592281539563</v>
      </c>
      <c r="K202" s="2">
        <v>0.94741777961251428</v>
      </c>
      <c r="L202" s="2">
        <v>0.95121534575348776</v>
      </c>
      <c r="M202" s="2">
        <v>0.94477100207897846</v>
      </c>
    </row>
    <row r="203" spans="1:13" x14ac:dyDescent="0.2">
      <c r="A203" s="2">
        <v>12</v>
      </c>
      <c r="B203" s="2">
        <v>260814</v>
      </c>
      <c r="C203" s="2" t="s">
        <v>51</v>
      </c>
      <c r="D203" s="2" t="s">
        <v>20</v>
      </c>
      <c r="E203" s="2" t="s">
        <v>142</v>
      </c>
      <c r="F203" s="2">
        <v>0.98007030493814318</v>
      </c>
      <c r="G203" s="2">
        <v>0.97203238791600555</v>
      </c>
      <c r="H203" s="2">
        <v>0.97061728195048547</v>
      </c>
      <c r="I203" s="2">
        <v>0.98220746525904346</v>
      </c>
      <c r="J203" s="2">
        <v>0.9803387182845873</v>
      </c>
      <c r="K203" s="2">
        <v>0.97804540932297368</v>
      </c>
      <c r="L203" s="2">
        <v>0.97707504100732345</v>
      </c>
      <c r="M203" s="2">
        <v>0.97415686594857009</v>
      </c>
    </row>
    <row r="204" spans="1:13" x14ac:dyDescent="0.2">
      <c r="A204" s="2">
        <v>12</v>
      </c>
      <c r="B204" s="2">
        <v>260814</v>
      </c>
      <c r="C204" s="2" t="s">
        <v>53</v>
      </c>
      <c r="D204" s="2" t="s">
        <v>20</v>
      </c>
      <c r="E204" s="2" t="s">
        <v>143</v>
      </c>
      <c r="F204" s="2">
        <v>0.98441241588640171</v>
      </c>
      <c r="G204" s="2">
        <v>0.97729007589275796</v>
      </c>
      <c r="H204" s="2">
        <v>0.97323716717672548</v>
      </c>
      <c r="I204" s="2">
        <v>0.98495602724807052</v>
      </c>
      <c r="J204" s="2">
        <v>0.9906096122244985</v>
      </c>
      <c r="K204" s="2">
        <v>0.99064869918767684</v>
      </c>
      <c r="L204" s="2">
        <v>0.99077467800662</v>
      </c>
      <c r="M204" s="2">
        <v>0.99150343423452048</v>
      </c>
    </row>
    <row r="205" spans="1:13" x14ac:dyDescent="0.2">
      <c r="A205" s="2">
        <v>12</v>
      </c>
      <c r="B205" s="2">
        <v>260814</v>
      </c>
      <c r="C205" s="2" t="s">
        <v>85</v>
      </c>
      <c r="D205" s="2" t="s">
        <v>20</v>
      </c>
      <c r="E205" s="2" t="s">
        <v>144</v>
      </c>
      <c r="F205" s="2">
        <v>0.92483713550080426</v>
      </c>
      <c r="G205" s="2">
        <v>0.92658552419409645</v>
      </c>
      <c r="H205" s="2">
        <v>0.93467608558958026</v>
      </c>
      <c r="I205" s="2">
        <v>0.94354693940034584</v>
      </c>
      <c r="J205" s="2">
        <v>0.93049399617693773</v>
      </c>
      <c r="K205" s="2">
        <v>0.91672377292781582</v>
      </c>
      <c r="L205" s="2">
        <v>0.90714554407507297</v>
      </c>
      <c r="M205" s="2">
        <v>0.90180047856823076</v>
      </c>
    </row>
    <row r="206" spans="1:13" x14ac:dyDescent="0.2">
      <c r="A206" s="2">
        <v>12</v>
      </c>
      <c r="B206" s="2">
        <v>260814</v>
      </c>
      <c r="C206" s="2" t="s">
        <v>36</v>
      </c>
      <c r="D206" s="2" t="s">
        <v>20</v>
      </c>
      <c r="E206" s="2" t="s">
        <v>145</v>
      </c>
      <c r="F206" s="2">
        <v>0.99172501229124488</v>
      </c>
      <c r="G206" s="2">
        <v>0.98641490759590567</v>
      </c>
      <c r="H206" s="2">
        <v>0.9878888220387132</v>
      </c>
      <c r="I206" s="2">
        <v>0.9917787751895718</v>
      </c>
      <c r="J206" s="2">
        <v>0.98890963584991853</v>
      </c>
      <c r="K206" s="2">
        <v>0.98790608095232579</v>
      </c>
      <c r="L206" s="2">
        <v>0.98671504589940584</v>
      </c>
      <c r="M206" s="2">
        <v>0.98842379314495954</v>
      </c>
    </row>
    <row r="207" spans="1:13" x14ac:dyDescent="0.2">
      <c r="A207" s="2">
        <v>13</v>
      </c>
      <c r="B207" s="2">
        <v>260828</v>
      </c>
      <c r="C207" s="2" t="s">
        <v>34</v>
      </c>
      <c r="D207" s="2" t="s">
        <v>20</v>
      </c>
      <c r="E207" s="2" t="s">
        <v>146</v>
      </c>
      <c r="F207" s="2">
        <v>0.97133917835336414</v>
      </c>
      <c r="G207" s="2">
        <v>0.96383592749925684</v>
      </c>
      <c r="H207" s="2">
        <v>0.96877407365895118</v>
      </c>
      <c r="I207" s="2">
        <v>0.97924188555173797</v>
      </c>
      <c r="J207" s="2">
        <v>0.98690978507691263</v>
      </c>
      <c r="K207" s="2">
        <v>0.98623630076863278</v>
      </c>
      <c r="L207" s="2">
        <v>0.98593938733246822</v>
      </c>
      <c r="M207" s="2">
        <v>0.98444251125348525</v>
      </c>
    </row>
    <row r="208" spans="1:13" x14ac:dyDescent="0.2">
      <c r="A208" s="2">
        <v>13</v>
      </c>
      <c r="B208" s="2">
        <v>260828</v>
      </c>
      <c r="C208" s="2" t="s">
        <v>32</v>
      </c>
      <c r="D208" s="2" t="s">
        <v>20</v>
      </c>
      <c r="E208" s="2" t="s">
        <v>147</v>
      </c>
      <c r="F208" s="2">
        <v>0.96821293322978641</v>
      </c>
      <c r="G208" s="2">
        <v>0.96098354644723849</v>
      </c>
      <c r="H208" s="2">
        <v>0.95630389255325143</v>
      </c>
      <c r="I208" s="2">
        <v>0.96614285022822599</v>
      </c>
      <c r="J208" s="2">
        <v>0.97634155010635459</v>
      </c>
      <c r="K208" s="2">
        <v>0.97665404469288053</v>
      </c>
      <c r="L208" s="2">
        <v>0.97763860157848725</v>
      </c>
      <c r="M208" s="2">
        <v>0.97859975908688934</v>
      </c>
    </row>
    <row r="209" spans="1:13" x14ac:dyDescent="0.2">
      <c r="A209" s="2">
        <v>13</v>
      </c>
      <c r="B209" s="2">
        <v>260828</v>
      </c>
      <c r="C209" s="2" t="s">
        <v>43</v>
      </c>
      <c r="D209" s="2" t="s">
        <v>20</v>
      </c>
      <c r="E209" s="2" t="s">
        <v>148</v>
      </c>
      <c r="F209" s="2">
        <v>0.95117784939856698</v>
      </c>
      <c r="G209" s="2">
        <v>0.93634989072645236</v>
      </c>
      <c r="H209" s="2">
        <v>0.93139719301748136</v>
      </c>
      <c r="I209" s="2">
        <v>0.94971175380641715</v>
      </c>
      <c r="J209" s="2">
        <v>0.96839594375973881</v>
      </c>
      <c r="K209" s="2">
        <v>0.96619823395241999</v>
      </c>
      <c r="L209" s="2">
        <v>0.95689483426193611</v>
      </c>
      <c r="M209" s="2">
        <v>0.95139449117274755</v>
      </c>
    </row>
    <row r="210" spans="1:13" x14ac:dyDescent="0.2">
      <c r="A210" s="2">
        <v>13</v>
      </c>
      <c r="B210" s="2">
        <v>260828</v>
      </c>
      <c r="C210" s="2" t="s">
        <v>26</v>
      </c>
      <c r="D210" s="2" t="s">
        <v>20</v>
      </c>
      <c r="E210" s="2" t="s">
        <v>149</v>
      </c>
      <c r="F210" s="2">
        <v>0.95808595386661377</v>
      </c>
      <c r="G210" s="2">
        <v>0.94388104900345104</v>
      </c>
      <c r="H210" s="2">
        <v>0.93660285746505301</v>
      </c>
      <c r="I210" s="2">
        <v>0.95994379115721462</v>
      </c>
      <c r="J210" s="2">
        <v>0.98059225284412765</v>
      </c>
      <c r="K210" s="2">
        <v>0.98113114586995176</v>
      </c>
      <c r="L210" s="2">
        <v>0.97959520869767536</v>
      </c>
      <c r="M210" s="2">
        <v>0.97706546432679053</v>
      </c>
    </row>
    <row r="211" spans="1:13" x14ac:dyDescent="0.2">
      <c r="A211" s="2">
        <v>13</v>
      </c>
      <c r="B211" s="2">
        <v>260828</v>
      </c>
      <c r="C211" s="2" t="s">
        <v>24</v>
      </c>
      <c r="D211" s="2" t="s">
        <v>20</v>
      </c>
      <c r="E211" s="2" t="s">
        <v>150</v>
      </c>
      <c r="F211" s="2">
        <v>0.96795882958862456</v>
      </c>
      <c r="G211" s="2">
        <v>0.95496246795399609</v>
      </c>
      <c r="H211" s="2">
        <v>0.95058779305874075</v>
      </c>
      <c r="I211" s="2">
        <v>0.96845754931517458</v>
      </c>
      <c r="J211" s="2">
        <v>0.98285555239726219</v>
      </c>
      <c r="K211" s="2">
        <v>0.98252182108644492</v>
      </c>
      <c r="L211" s="2">
        <v>0.98036557647339673</v>
      </c>
      <c r="M211" s="2">
        <v>0.9780317151405612</v>
      </c>
    </row>
    <row r="212" spans="1:13" x14ac:dyDescent="0.2">
      <c r="A212" s="2">
        <v>13</v>
      </c>
      <c r="B212" s="2">
        <v>260828</v>
      </c>
      <c r="C212" s="2" t="s">
        <v>22</v>
      </c>
      <c r="D212" s="2" t="s">
        <v>20</v>
      </c>
      <c r="E212" s="2" t="s">
        <v>151</v>
      </c>
      <c r="F212" s="2">
        <v>0.9791661575116728</v>
      </c>
      <c r="G212" s="2">
        <v>0.9630426140222621</v>
      </c>
      <c r="H212" s="2">
        <v>0.96812121302900767</v>
      </c>
      <c r="I212" s="2">
        <v>0.98729068579216994</v>
      </c>
      <c r="J212" s="2">
        <v>0.99248897782617995</v>
      </c>
      <c r="K212" s="2">
        <v>0.99183074303259589</v>
      </c>
      <c r="L212" s="2">
        <v>0.99110951369104772</v>
      </c>
      <c r="M212" s="2">
        <v>0.99047419833395967</v>
      </c>
    </row>
    <row r="213" spans="1:13" x14ac:dyDescent="0.2">
      <c r="A213" s="2">
        <v>13</v>
      </c>
      <c r="B213" s="2">
        <v>260828</v>
      </c>
      <c r="C213" s="2" t="s">
        <v>19</v>
      </c>
      <c r="D213" s="2" t="s">
        <v>20</v>
      </c>
      <c r="E213" s="2" t="s">
        <v>152</v>
      </c>
      <c r="F213" s="2">
        <v>0.98835820891363968</v>
      </c>
      <c r="G213" s="2">
        <v>0.9779141678169575</v>
      </c>
      <c r="H213" s="2">
        <v>0.98055714622609236</v>
      </c>
      <c r="I213" s="2">
        <v>0.99247403593656514</v>
      </c>
      <c r="J213" s="2">
        <v>0.99475244446078515</v>
      </c>
      <c r="K213" s="2">
        <v>0.99407127527489458</v>
      </c>
      <c r="L213" s="2">
        <v>0.99425957459315906</v>
      </c>
      <c r="M213" s="2">
        <v>0.994197924296647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53"/>
  <sheetViews>
    <sheetView workbookViewId="0">
      <selection activeCell="P19" sqref="P19"/>
    </sheetView>
  </sheetViews>
  <sheetFormatPr baseColWidth="10" defaultRowHeight="14" x14ac:dyDescent="0.15"/>
  <cols>
    <col min="1" max="4" width="10.83203125" style="2" customWidth="1"/>
    <col min="5" max="5" width="25.1640625" style="2" customWidth="1"/>
    <col min="6" max="6" width="17.33203125" style="2" customWidth="1"/>
    <col min="7" max="20" width="10.83203125" style="2" customWidth="1"/>
    <col min="21" max="21" width="25.6640625" style="2" customWidth="1"/>
    <col min="22" max="30" width="10.83203125" style="2" customWidth="1"/>
    <col min="31" max="31" width="62.5" style="2" customWidth="1"/>
    <col min="32" max="35" width="10.83203125" style="2" customWidth="1"/>
    <col min="36" max="16384" width="10.83203125" style="2"/>
  </cols>
  <sheetData>
    <row r="1" spans="1:31" x14ac:dyDescent="0.1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7" t="s">
        <v>154</v>
      </c>
      <c r="P1" s="8"/>
      <c r="Q1" s="8"/>
      <c r="AE1" s="2" t="s">
        <v>154</v>
      </c>
    </row>
    <row r="2" spans="1:31" x14ac:dyDescent="0.15">
      <c r="A2" s="8">
        <v>2</v>
      </c>
      <c r="B2" s="8">
        <v>260603</v>
      </c>
      <c r="C2" s="8" t="s">
        <v>36</v>
      </c>
      <c r="D2" s="8" t="s">
        <v>20</v>
      </c>
      <c r="E2" s="8" t="s">
        <v>38</v>
      </c>
      <c r="F2" s="8">
        <v>11.7</v>
      </c>
      <c r="G2" s="8">
        <v>2.398001285323188</v>
      </c>
      <c r="H2" s="8">
        <v>2.7359715285544781</v>
      </c>
      <c r="I2" s="8">
        <v>2.9007447744811161</v>
      </c>
      <c r="J2" s="8">
        <v>2.8404954587947748</v>
      </c>
      <c r="K2" s="8">
        <v>2.2260574046888699</v>
      </c>
      <c r="L2" s="8">
        <v>1.95505840522604</v>
      </c>
      <c r="M2" s="8">
        <v>1.657678111219038</v>
      </c>
      <c r="N2" s="8">
        <v>1.5638108578315171</v>
      </c>
      <c r="O2" s="8" t="s">
        <v>155</v>
      </c>
      <c r="P2" s="8"/>
      <c r="Q2" s="8"/>
    </row>
    <row r="3" spans="1:31" x14ac:dyDescent="0.15">
      <c r="A3" s="8">
        <v>2</v>
      </c>
      <c r="B3" s="8">
        <v>260603</v>
      </c>
      <c r="C3" s="8" t="s">
        <v>19</v>
      </c>
      <c r="D3" s="8" t="s">
        <v>20</v>
      </c>
      <c r="E3" s="8" t="s">
        <v>39</v>
      </c>
      <c r="F3" s="8">
        <v>4.2</v>
      </c>
      <c r="G3" s="8">
        <v>1.9754335784580681</v>
      </c>
      <c r="H3" s="8">
        <v>2.3021579340357552</v>
      </c>
      <c r="I3" s="8">
        <v>2.1906084822830429</v>
      </c>
      <c r="J3" s="8">
        <v>1.794615055134144</v>
      </c>
      <c r="K3" s="8">
        <v>1.381167281653745</v>
      </c>
      <c r="L3" s="8">
        <v>1.237831548591606</v>
      </c>
      <c r="M3" s="8">
        <v>1.140692467974824</v>
      </c>
      <c r="N3" s="8">
        <v>1.0848474064293581</v>
      </c>
      <c r="O3" s="8" t="s">
        <v>156</v>
      </c>
      <c r="P3" s="8"/>
      <c r="Q3" s="8"/>
    </row>
    <row r="4" spans="1:31" x14ac:dyDescent="0.15">
      <c r="A4" s="8">
        <v>2</v>
      </c>
      <c r="B4" s="8">
        <v>260603</v>
      </c>
      <c r="C4" s="8" t="s">
        <v>22</v>
      </c>
      <c r="D4" s="8" t="s">
        <v>20</v>
      </c>
      <c r="E4" s="8" t="s">
        <v>40</v>
      </c>
      <c r="F4" s="8">
        <v>3.4</v>
      </c>
      <c r="G4" s="8">
        <v>1.9970119751242059</v>
      </c>
      <c r="H4" s="8">
        <v>2.2233458623727298</v>
      </c>
      <c r="I4" s="8">
        <v>2.2685010747628951</v>
      </c>
      <c r="J4" s="8">
        <v>1.998628278172482</v>
      </c>
      <c r="K4" s="8">
        <v>1.634105292420164</v>
      </c>
      <c r="L4" s="8">
        <v>1.4725624728200271</v>
      </c>
      <c r="M4" s="8">
        <v>1.31358448948606</v>
      </c>
      <c r="N4" s="8">
        <v>1.24621830269356</v>
      </c>
      <c r="O4" s="8" t="s">
        <v>157</v>
      </c>
      <c r="P4" s="8"/>
      <c r="Q4" s="8"/>
    </row>
    <row r="5" spans="1:31" x14ac:dyDescent="0.15">
      <c r="A5" s="8">
        <v>2</v>
      </c>
      <c r="B5" s="8">
        <v>260603</v>
      </c>
      <c r="C5" s="8" t="s">
        <v>24</v>
      </c>
      <c r="D5" s="8" t="s">
        <v>20</v>
      </c>
      <c r="E5" s="8" t="s">
        <v>41</v>
      </c>
      <c r="F5" s="8">
        <v>2.4</v>
      </c>
      <c r="G5" s="8">
        <v>6.3154597709349458</v>
      </c>
      <c r="H5" s="8">
        <v>6.8413731079576454</v>
      </c>
      <c r="I5" s="8">
        <v>1.7878569308385901</v>
      </c>
      <c r="J5" s="8">
        <v>1.784550613652188</v>
      </c>
      <c r="K5" s="8">
        <v>1.9765794227223681</v>
      </c>
      <c r="L5" s="8">
        <v>1.739365531688934</v>
      </c>
      <c r="M5" s="8">
        <v>1.4959115754686461</v>
      </c>
      <c r="N5" s="8">
        <v>1.404175709268874</v>
      </c>
      <c r="O5" s="8" t="s">
        <v>158</v>
      </c>
      <c r="P5" s="8"/>
      <c r="Q5" s="8"/>
    </row>
    <row r="6" spans="1:31" x14ac:dyDescent="0.15">
      <c r="A6" s="8">
        <v>2</v>
      </c>
      <c r="B6" s="8">
        <v>260603</v>
      </c>
      <c r="C6" s="8" t="s">
        <v>43</v>
      </c>
      <c r="D6" s="8" t="s">
        <v>20</v>
      </c>
      <c r="E6" s="8" t="s">
        <v>44</v>
      </c>
      <c r="F6" s="8">
        <v>2.8</v>
      </c>
      <c r="G6" s="8">
        <v>2.1289243155370561</v>
      </c>
      <c r="H6" s="8">
        <v>2.2215953930195829</v>
      </c>
      <c r="I6" s="8">
        <v>2.2379835297315949</v>
      </c>
      <c r="J6" s="8">
        <v>2.3922878442083668</v>
      </c>
      <c r="K6" s="8">
        <v>2.1385075681202288</v>
      </c>
      <c r="L6" s="8">
        <v>1.941385145828723</v>
      </c>
      <c r="M6" s="8">
        <v>1.741127014616052</v>
      </c>
      <c r="N6" s="8">
        <v>1.6312202747029561</v>
      </c>
      <c r="O6" s="8"/>
      <c r="P6" s="8"/>
      <c r="Q6" s="8"/>
    </row>
    <row r="7" spans="1:31" x14ac:dyDescent="0.15">
      <c r="A7" s="8">
        <v>3</v>
      </c>
      <c r="B7" s="8">
        <v>260610</v>
      </c>
      <c r="C7" s="8" t="s">
        <v>45</v>
      </c>
      <c r="D7" s="8" t="s">
        <v>20</v>
      </c>
      <c r="E7" s="8" t="s">
        <v>46</v>
      </c>
      <c r="F7" s="8">
        <v>7</v>
      </c>
      <c r="G7" s="8">
        <v>1.3798652578615871</v>
      </c>
      <c r="H7" s="8">
        <v>1.6004900707651419</v>
      </c>
      <c r="I7" s="8">
        <v>1.4185815304944871</v>
      </c>
      <c r="J7" s="8">
        <v>1.20600799612173</v>
      </c>
      <c r="K7" s="8">
        <v>1.0308674442590109</v>
      </c>
      <c r="L7" s="8">
        <v>1.0118494140198431</v>
      </c>
      <c r="M7" s="8">
        <v>1.089425697136063</v>
      </c>
      <c r="N7" s="8">
        <v>1.2393827474867469</v>
      </c>
      <c r="O7" s="8" t="s">
        <v>159</v>
      </c>
      <c r="P7" s="8"/>
      <c r="Q7" s="8"/>
    </row>
    <row r="8" spans="1:31" x14ac:dyDescent="0.15">
      <c r="A8" s="8">
        <v>3</v>
      </c>
      <c r="B8" s="8">
        <v>260610</v>
      </c>
      <c r="C8" s="8" t="s">
        <v>47</v>
      </c>
      <c r="D8" s="8" t="s">
        <v>20</v>
      </c>
      <c r="E8" s="8" t="s">
        <v>48</v>
      </c>
      <c r="F8" s="8">
        <v>8.6000000000000014</v>
      </c>
      <c r="G8" s="8">
        <v>1.331178166906837</v>
      </c>
      <c r="H8" s="8">
        <v>1.5180319849892721</v>
      </c>
      <c r="I8" s="8">
        <v>1.4319290869884951</v>
      </c>
      <c r="J8" s="8">
        <v>1.233809695484799</v>
      </c>
      <c r="K8" s="8">
        <v>1.03583748972303</v>
      </c>
      <c r="L8" s="8">
        <v>1.007728366582417</v>
      </c>
      <c r="M8" s="8">
        <v>1.070606619013124</v>
      </c>
      <c r="N8" s="8">
        <v>1.1968921927763521</v>
      </c>
      <c r="O8" s="8" t="s">
        <v>160</v>
      </c>
      <c r="P8" s="8"/>
      <c r="Q8" s="8"/>
    </row>
    <row r="9" spans="1:31" x14ac:dyDescent="0.15">
      <c r="A9" s="8">
        <v>3</v>
      </c>
      <c r="B9" s="8">
        <v>260610</v>
      </c>
      <c r="C9" s="8" t="s">
        <v>49</v>
      </c>
      <c r="D9" s="8" t="s">
        <v>20</v>
      </c>
      <c r="E9" s="8" t="s">
        <v>50</v>
      </c>
      <c r="F9" s="8">
        <v>15.7</v>
      </c>
      <c r="G9" s="8">
        <v>1.6497629239904199</v>
      </c>
      <c r="H9" s="8">
        <v>1.813128933252937</v>
      </c>
      <c r="I9" s="8">
        <v>1.8232712980253769</v>
      </c>
      <c r="J9" s="8">
        <v>1.6965352881788029</v>
      </c>
      <c r="K9" s="8">
        <v>1.3966631454874081</v>
      </c>
      <c r="L9" s="8">
        <v>1.286440561429776</v>
      </c>
      <c r="M9" s="8">
        <v>1.299701342907736</v>
      </c>
      <c r="N9" s="8">
        <v>1.4139714906780321</v>
      </c>
      <c r="O9" s="8"/>
      <c r="P9" s="8"/>
      <c r="Q9" s="8"/>
    </row>
    <row r="10" spans="1:31" x14ac:dyDescent="0.15">
      <c r="A10" s="8">
        <v>3</v>
      </c>
      <c r="B10" s="8">
        <v>260610</v>
      </c>
      <c r="C10" s="8" t="s">
        <v>53</v>
      </c>
      <c r="D10" s="8" t="s">
        <v>20</v>
      </c>
      <c r="E10" s="8" t="s">
        <v>54</v>
      </c>
      <c r="F10" s="8">
        <v>9.1000000000000014</v>
      </c>
      <c r="G10" s="8">
        <v>2.042583169242957</v>
      </c>
      <c r="H10" s="8">
        <v>2.4288471348780609</v>
      </c>
      <c r="I10" s="8">
        <v>2.4648903702764531</v>
      </c>
      <c r="J10" s="8">
        <v>2.150956376060996</v>
      </c>
      <c r="K10" s="8">
        <v>1.699454345276777</v>
      </c>
      <c r="L10" s="8">
        <v>1.524835832585139</v>
      </c>
      <c r="M10" s="8">
        <v>1.4249679854915089</v>
      </c>
      <c r="N10" s="8">
        <v>1.4239783113026629</v>
      </c>
      <c r="O10" s="8"/>
      <c r="P10" s="8"/>
      <c r="Q10" s="8"/>
    </row>
    <row r="11" spans="1:31" x14ac:dyDescent="0.15">
      <c r="A11" s="8">
        <v>3</v>
      </c>
      <c r="B11" s="8">
        <v>260610</v>
      </c>
      <c r="C11" s="8" t="s">
        <v>32</v>
      </c>
      <c r="D11" s="8" t="s">
        <v>20</v>
      </c>
      <c r="E11" s="8" t="s">
        <v>55</v>
      </c>
      <c r="F11" s="8">
        <v>15</v>
      </c>
      <c r="G11" s="8">
        <v>2.3558070055390692</v>
      </c>
      <c r="H11" s="8">
        <v>2.5655909826553791</v>
      </c>
      <c r="I11" s="8">
        <v>2.7640731513505301</v>
      </c>
      <c r="J11" s="8">
        <v>2.826443141778749</v>
      </c>
      <c r="K11" s="8">
        <v>2.4753108565470039</v>
      </c>
      <c r="L11" s="8">
        <v>2.2407957363081632</v>
      </c>
      <c r="M11" s="8">
        <v>2.078289169112451</v>
      </c>
      <c r="N11" s="8">
        <v>2.0435055935326121</v>
      </c>
      <c r="O11" s="8"/>
      <c r="P11" s="8"/>
      <c r="Q11" s="8"/>
    </row>
    <row r="12" spans="1:31" x14ac:dyDescent="0.15">
      <c r="A12" s="8">
        <v>3</v>
      </c>
      <c r="B12" s="8">
        <v>260610</v>
      </c>
      <c r="C12" s="8" t="s">
        <v>34</v>
      </c>
      <c r="D12" s="8" t="s">
        <v>20</v>
      </c>
      <c r="E12" s="8" t="s">
        <v>56</v>
      </c>
      <c r="F12" s="8">
        <v>13.3</v>
      </c>
      <c r="G12" s="8">
        <v>1.805335446668203</v>
      </c>
      <c r="H12" s="8">
        <v>1.9817771299361511</v>
      </c>
      <c r="I12" s="8">
        <v>1.819222100036076</v>
      </c>
      <c r="J12" s="8">
        <v>1.9097392845258301</v>
      </c>
      <c r="K12" s="8">
        <v>1.808768665785782</v>
      </c>
      <c r="L12" s="8">
        <v>1.614359807726419</v>
      </c>
      <c r="M12" s="8">
        <v>1.515963370614138</v>
      </c>
      <c r="N12" s="8">
        <v>1.5252726086701329</v>
      </c>
      <c r="O12" s="8" t="s">
        <v>158</v>
      </c>
      <c r="P12" s="8"/>
      <c r="Q12" s="8"/>
    </row>
    <row r="13" spans="1:31" x14ac:dyDescent="0.15">
      <c r="A13" s="8">
        <v>6</v>
      </c>
      <c r="B13" s="8">
        <v>260702</v>
      </c>
      <c r="C13" s="8" t="s">
        <v>45</v>
      </c>
      <c r="D13" s="8" t="s">
        <v>60</v>
      </c>
      <c r="E13" s="8" t="s">
        <v>89</v>
      </c>
      <c r="F13" s="8">
        <v>3.2</v>
      </c>
      <c r="G13" s="8">
        <v>0.94436504267443422</v>
      </c>
      <c r="H13" s="8">
        <v>0.94189377033034571</v>
      </c>
      <c r="I13" s="8">
        <v>0.78573205847141936</v>
      </c>
      <c r="J13" s="8">
        <v>0.6657603537346064</v>
      </c>
      <c r="K13" s="8">
        <v>0.60499627405455803</v>
      </c>
      <c r="L13" s="8">
        <v>0.65513143958119113</v>
      </c>
      <c r="M13" s="8">
        <v>0.75771684627212765</v>
      </c>
      <c r="N13" s="8">
        <v>0.91625450908172446</v>
      </c>
      <c r="O13" s="8" t="s">
        <v>161</v>
      </c>
      <c r="P13" s="8"/>
      <c r="Q13" s="8"/>
    </row>
    <row r="14" spans="1:31" x14ac:dyDescent="0.15">
      <c r="A14" s="8">
        <v>6</v>
      </c>
      <c r="B14" s="8">
        <v>260702</v>
      </c>
      <c r="C14" s="8" t="s">
        <v>90</v>
      </c>
      <c r="D14" s="8" t="s">
        <v>60</v>
      </c>
      <c r="E14" s="8" t="s">
        <v>91</v>
      </c>
      <c r="F14" s="8">
        <v>4.4000000000000004</v>
      </c>
      <c r="G14" s="8">
        <v>1.285676486432471</v>
      </c>
      <c r="H14" s="8">
        <v>1.368582885426237</v>
      </c>
      <c r="I14" s="8">
        <v>1.2817682082935631</v>
      </c>
      <c r="J14" s="8">
        <v>1.095770803688505</v>
      </c>
      <c r="K14" s="8">
        <v>0.94403074818321242</v>
      </c>
      <c r="L14" s="8">
        <v>0.95728759750088721</v>
      </c>
      <c r="M14" s="8">
        <v>1.055294705793405</v>
      </c>
      <c r="N14" s="8">
        <v>1.1957829353078451</v>
      </c>
      <c r="O14" s="8" t="s">
        <v>162</v>
      </c>
      <c r="P14" s="8"/>
      <c r="Q14" s="8"/>
    </row>
    <row r="15" spans="1:31" x14ac:dyDescent="0.15">
      <c r="A15" s="8">
        <v>6</v>
      </c>
      <c r="B15" s="8">
        <v>260702</v>
      </c>
      <c r="C15" s="8" t="s">
        <v>34</v>
      </c>
      <c r="D15" s="8" t="s">
        <v>60</v>
      </c>
      <c r="E15" s="8" t="s">
        <v>98</v>
      </c>
      <c r="F15" s="8">
        <v>17.2</v>
      </c>
      <c r="G15" s="8">
        <v>2.1794971586212069</v>
      </c>
      <c r="H15" s="8">
        <v>2.406478403663884</v>
      </c>
      <c r="I15" s="8">
        <v>2.5164279757067489</v>
      </c>
      <c r="J15" s="8">
        <v>2.3153177013556121</v>
      </c>
      <c r="K15" s="8">
        <v>1.863512352412749</v>
      </c>
      <c r="L15" s="8">
        <v>1.732049973295525</v>
      </c>
      <c r="M15" s="8">
        <v>1.6612830518630379</v>
      </c>
      <c r="N15" s="8">
        <v>1.712162966927451</v>
      </c>
      <c r="O15" s="8" t="s">
        <v>158</v>
      </c>
      <c r="P15" s="8"/>
      <c r="Q15" s="8"/>
    </row>
    <row r="16" spans="1:31" x14ac:dyDescent="0.15">
      <c r="A16" s="8">
        <v>6</v>
      </c>
      <c r="B16" s="8">
        <v>260702</v>
      </c>
      <c r="C16" s="8" t="s">
        <v>32</v>
      </c>
      <c r="D16" s="8" t="s">
        <v>60</v>
      </c>
      <c r="E16" s="8" t="s">
        <v>99</v>
      </c>
      <c r="F16" s="8">
        <v>22.13</v>
      </c>
      <c r="G16" s="8">
        <v>1.884321081569122</v>
      </c>
      <c r="H16" s="8">
        <v>2.056808721595424</v>
      </c>
      <c r="I16" s="8">
        <v>2.2175783044036859</v>
      </c>
      <c r="J16" s="8">
        <v>2.0838405017181829</v>
      </c>
      <c r="K16" s="8">
        <v>1.6992036853019681</v>
      </c>
      <c r="L16" s="8">
        <v>1.5692470119555251</v>
      </c>
      <c r="M16" s="8">
        <v>1.5173142472445831</v>
      </c>
      <c r="N16" s="8">
        <v>1.5737045605954501</v>
      </c>
      <c r="O16" s="8"/>
      <c r="P16" s="8"/>
      <c r="Q16" s="8"/>
    </row>
    <row r="17" spans="1:17" x14ac:dyDescent="0.15">
      <c r="A17" s="8">
        <v>7</v>
      </c>
      <c r="B17" s="8">
        <v>260709</v>
      </c>
      <c r="C17" s="8" t="s">
        <v>36</v>
      </c>
      <c r="D17" s="8" t="s">
        <v>60</v>
      </c>
      <c r="E17" s="8" t="s">
        <v>100</v>
      </c>
      <c r="F17" s="8">
        <v>6.27</v>
      </c>
      <c r="G17" s="8">
        <v>2.3957447174942779</v>
      </c>
      <c r="H17" s="8">
        <v>2.4385592707526502</v>
      </c>
      <c r="I17" s="8">
        <v>2.8285741084756628</v>
      </c>
      <c r="J17" s="8">
        <v>2.7785097360088709</v>
      </c>
      <c r="K17" s="8">
        <v>2.670348214567499</v>
      </c>
      <c r="L17" s="8">
        <v>2.338441358728089</v>
      </c>
      <c r="M17" s="8">
        <v>2.165224231285376</v>
      </c>
      <c r="N17" s="8">
        <v>2.0010104690623831</v>
      </c>
      <c r="O17" s="8" t="s">
        <v>163</v>
      </c>
      <c r="P17" s="8"/>
      <c r="Q17" s="8"/>
    </row>
    <row r="18" spans="1:17" x14ac:dyDescent="0.15">
      <c r="A18" s="8">
        <v>7</v>
      </c>
      <c r="B18" s="8">
        <v>260709</v>
      </c>
      <c r="C18" s="8" t="s">
        <v>19</v>
      </c>
      <c r="D18" s="8" t="s">
        <v>60</v>
      </c>
      <c r="E18" s="8" t="s">
        <v>101</v>
      </c>
      <c r="F18" s="8">
        <v>23.47</v>
      </c>
      <c r="G18" s="8">
        <v>2.002085416671525</v>
      </c>
      <c r="H18" s="8">
        <v>2.2691532488051989</v>
      </c>
      <c r="I18" s="8">
        <v>2.3051349712761682</v>
      </c>
      <c r="J18" s="8">
        <v>2.0936249059438801</v>
      </c>
      <c r="K18" s="8">
        <v>1.685522448285969</v>
      </c>
      <c r="L18" s="8">
        <v>1.6081588415725321</v>
      </c>
      <c r="M18" s="8">
        <v>1.5467499712584269</v>
      </c>
      <c r="N18" s="8">
        <v>1.5426175402986471</v>
      </c>
      <c r="O18" s="8"/>
      <c r="P18" s="8"/>
      <c r="Q18" s="8"/>
    </row>
    <row r="19" spans="1:17" x14ac:dyDescent="0.15">
      <c r="A19" s="8">
        <v>7</v>
      </c>
      <c r="B19" s="8">
        <v>260709</v>
      </c>
      <c r="C19" s="8" t="s">
        <v>70</v>
      </c>
      <c r="D19" s="8" t="s">
        <v>60</v>
      </c>
      <c r="E19" s="8" t="s">
        <v>104</v>
      </c>
      <c r="F19" s="8">
        <v>3.73</v>
      </c>
      <c r="G19" s="8">
        <v>2.8705770967667581</v>
      </c>
      <c r="H19" s="8">
        <v>2.9549974011623972</v>
      </c>
      <c r="I19" s="8">
        <v>3.2499959678210382</v>
      </c>
      <c r="J19" s="8">
        <v>3.4604604515270778</v>
      </c>
      <c r="K19" s="8">
        <v>3.0834763885814169</v>
      </c>
      <c r="L19" s="8">
        <v>2.8046129214430531</v>
      </c>
      <c r="M19" s="8">
        <v>2.435095367805614</v>
      </c>
      <c r="N19" s="8">
        <v>2.164501276385375</v>
      </c>
      <c r="O19" s="8"/>
      <c r="P19" s="8"/>
      <c r="Q19" s="8"/>
    </row>
    <row r="23" spans="1:17" x14ac:dyDescent="0.15">
      <c r="A23" s="2">
        <v>7</v>
      </c>
      <c r="B23" s="2">
        <v>260709</v>
      </c>
      <c r="C23" s="2" t="s">
        <v>72</v>
      </c>
      <c r="D23" s="2" t="s">
        <v>60</v>
      </c>
      <c r="E23" s="2" t="s">
        <v>105</v>
      </c>
      <c r="F23" s="2">
        <v>3.73</v>
      </c>
      <c r="G23" s="2">
        <v>4.0661700412766972</v>
      </c>
      <c r="H23" s="2">
        <v>4.9262963353873266</v>
      </c>
      <c r="I23" s="2">
        <v>2.7448467691620819</v>
      </c>
      <c r="J23" s="2">
        <v>4.3949057710946038</v>
      </c>
      <c r="K23" s="2">
        <v>3.8592405728884329</v>
      </c>
      <c r="L23" s="2">
        <v>2.7005248913758981</v>
      </c>
      <c r="M23" s="2">
        <v>2.435374989024754</v>
      </c>
      <c r="N23" s="2">
        <v>2.3411729427859682</v>
      </c>
      <c r="O23" s="2" t="s">
        <v>164</v>
      </c>
    </row>
    <row r="25" spans="1:17" x14ac:dyDescent="0.15">
      <c r="A25" s="2">
        <v>2</v>
      </c>
      <c r="B25" s="2">
        <v>260603</v>
      </c>
      <c r="C25" s="2" t="s">
        <v>36</v>
      </c>
      <c r="D25" s="2" t="s">
        <v>20</v>
      </c>
      <c r="E25" s="2" t="s">
        <v>38</v>
      </c>
      <c r="F25" s="2">
        <v>11.7</v>
      </c>
      <c r="G25" s="2">
        <v>2.398001285323188</v>
      </c>
      <c r="H25" s="2">
        <v>2.7359715285544781</v>
      </c>
      <c r="I25" s="2">
        <v>2.9007447744811161</v>
      </c>
      <c r="J25" s="2">
        <v>2.8404954587947748</v>
      </c>
      <c r="K25" s="2">
        <v>2.2260574046888699</v>
      </c>
      <c r="L25" s="2">
        <v>1.95505840522604</v>
      </c>
      <c r="M25" s="2">
        <v>1.657678111219038</v>
      </c>
      <c r="N25" s="2">
        <v>1.5638108578315171</v>
      </c>
    </row>
    <row r="26" spans="1:17" x14ac:dyDescent="0.15">
      <c r="A26" s="2">
        <v>2</v>
      </c>
      <c r="B26" s="2">
        <v>260603</v>
      </c>
      <c r="C26" s="2" t="s">
        <v>19</v>
      </c>
      <c r="D26" s="2" t="s">
        <v>20</v>
      </c>
      <c r="E26" s="2" t="s">
        <v>39</v>
      </c>
      <c r="F26" s="2">
        <v>4.2</v>
      </c>
      <c r="G26" s="2">
        <v>1.9754335784580681</v>
      </c>
      <c r="H26" s="2">
        <v>2.3021579340357552</v>
      </c>
      <c r="I26" s="2">
        <v>2.1906084822830429</v>
      </c>
      <c r="J26" s="2">
        <v>1.794615055134144</v>
      </c>
      <c r="K26" s="2">
        <v>1.381167281653745</v>
      </c>
      <c r="L26" s="2">
        <v>1.237831548591606</v>
      </c>
      <c r="M26" s="2">
        <v>1.140692467974824</v>
      </c>
      <c r="N26" s="2">
        <v>1.0848474064293581</v>
      </c>
    </row>
    <row r="27" spans="1:17" x14ac:dyDescent="0.15">
      <c r="A27" s="2">
        <v>2</v>
      </c>
      <c r="B27" s="2">
        <v>260603</v>
      </c>
      <c r="C27" s="2" t="s">
        <v>22</v>
      </c>
      <c r="D27" s="2" t="s">
        <v>20</v>
      </c>
      <c r="E27" s="2" t="s">
        <v>40</v>
      </c>
      <c r="F27" s="2">
        <v>3.4</v>
      </c>
      <c r="G27" s="2">
        <v>1.9970119751242059</v>
      </c>
      <c r="H27" s="2">
        <v>2.2233458623727298</v>
      </c>
      <c r="I27" s="2">
        <v>2.2685010747628951</v>
      </c>
      <c r="J27" s="2">
        <v>1.998628278172482</v>
      </c>
      <c r="K27" s="2">
        <v>1.634105292420164</v>
      </c>
      <c r="L27" s="2">
        <v>1.4725624728200271</v>
      </c>
      <c r="M27" s="2">
        <v>1.31358448948606</v>
      </c>
      <c r="N27" s="2">
        <v>1.24621830269356</v>
      </c>
    </row>
    <row r="28" spans="1:17" x14ac:dyDescent="0.15">
      <c r="A28" s="2">
        <v>2</v>
      </c>
      <c r="B28" s="2">
        <v>260603</v>
      </c>
      <c r="C28" s="2" t="s">
        <v>24</v>
      </c>
      <c r="D28" s="2" t="s">
        <v>20</v>
      </c>
      <c r="E28" s="2" t="s">
        <v>41</v>
      </c>
      <c r="F28" s="2">
        <v>2.4</v>
      </c>
      <c r="G28" s="2">
        <v>6.3154597709349458</v>
      </c>
      <c r="H28" s="2">
        <v>6.8413731079576454</v>
      </c>
      <c r="I28" s="2">
        <v>1.7878569308385901</v>
      </c>
      <c r="J28" s="2">
        <v>1.784550613652188</v>
      </c>
      <c r="K28" s="2">
        <v>1.9765794227223681</v>
      </c>
      <c r="L28" s="2">
        <v>1.739365531688934</v>
      </c>
      <c r="M28" s="2">
        <v>1.4959115754686461</v>
      </c>
      <c r="N28" s="2">
        <v>1.404175709268874</v>
      </c>
    </row>
    <row r="29" spans="1:17" x14ac:dyDescent="0.15">
      <c r="A29" s="2">
        <v>2</v>
      </c>
      <c r="B29" s="2">
        <v>260603</v>
      </c>
      <c r="C29" s="2" t="s">
        <v>26</v>
      </c>
      <c r="D29" s="2" t="s">
        <v>20</v>
      </c>
      <c r="E29" s="2" t="s">
        <v>42</v>
      </c>
      <c r="F29" s="2">
        <v>3.600000000000001</v>
      </c>
      <c r="G29" s="2">
        <v>2.3415400898711849</v>
      </c>
      <c r="H29" s="2">
        <v>2.616888026272294</v>
      </c>
      <c r="I29" s="2">
        <v>2.7502224676023781</v>
      </c>
      <c r="J29" s="2">
        <v>2.5440837856638971</v>
      </c>
      <c r="K29" s="2">
        <v>2.052388581612445</v>
      </c>
      <c r="L29" s="2">
        <v>1.7851922318611591</v>
      </c>
      <c r="M29" s="2">
        <v>1.5270786928737849</v>
      </c>
      <c r="N29" s="2">
        <v>1.3862357661405029</v>
      </c>
    </row>
    <row r="30" spans="1:17" x14ac:dyDescent="0.15">
      <c r="A30" s="2">
        <v>2</v>
      </c>
      <c r="B30" s="2">
        <v>260603</v>
      </c>
      <c r="C30" s="2" t="s">
        <v>43</v>
      </c>
      <c r="D30" s="2" t="s">
        <v>20</v>
      </c>
      <c r="E30" s="2" t="s">
        <v>44</v>
      </c>
      <c r="F30" s="2">
        <v>2.8</v>
      </c>
      <c r="G30" s="2">
        <v>2.1289243155370561</v>
      </c>
      <c r="H30" s="2">
        <v>2.2215953930195829</v>
      </c>
      <c r="I30" s="2">
        <v>2.2379835297315949</v>
      </c>
      <c r="J30" s="2">
        <v>2.3922878442083668</v>
      </c>
      <c r="K30" s="2">
        <v>2.1385075681202288</v>
      </c>
      <c r="L30" s="2">
        <v>1.941385145828723</v>
      </c>
      <c r="M30" s="2">
        <v>1.741127014616052</v>
      </c>
      <c r="N30" s="2">
        <v>1.6312202747029561</v>
      </c>
    </row>
    <row r="31" spans="1:17" x14ac:dyDescent="0.15">
      <c r="A31" s="2">
        <v>3</v>
      </c>
      <c r="B31" s="2">
        <v>260610</v>
      </c>
      <c r="C31" s="2" t="s">
        <v>45</v>
      </c>
      <c r="D31" s="2" t="s">
        <v>20</v>
      </c>
      <c r="E31" s="2" t="s">
        <v>46</v>
      </c>
      <c r="F31" s="2">
        <v>7</v>
      </c>
      <c r="G31" s="2">
        <v>1.3798652578615871</v>
      </c>
      <c r="H31" s="2">
        <v>1.6004900707651419</v>
      </c>
      <c r="I31" s="2">
        <v>1.4185815304944871</v>
      </c>
      <c r="J31" s="2">
        <v>1.20600799612173</v>
      </c>
      <c r="K31" s="2">
        <v>1.0308674442590109</v>
      </c>
      <c r="L31" s="2">
        <v>1.0118494140198431</v>
      </c>
      <c r="M31" s="2">
        <v>1.089425697136063</v>
      </c>
      <c r="N31" s="2">
        <v>1.2393827474867469</v>
      </c>
    </row>
    <row r="32" spans="1:17" x14ac:dyDescent="0.15">
      <c r="A32" s="2">
        <v>3</v>
      </c>
      <c r="B32" s="2">
        <v>260610</v>
      </c>
      <c r="C32" s="2" t="s">
        <v>47</v>
      </c>
      <c r="D32" s="2" t="s">
        <v>20</v>
      </c>
      <c r="E32" s="2" t="s">
        <v>48</v>
      </c>
      <c r="F32" s="2">
        <v>8.6000000000000014</v>
      </c>
      <c r="G32" s="2">
        <v>1.331178166906837</v>
      </c>
      <c r="H32" s="2">
        <v>1.5180319849892721</v>
      </c>
      <c r="I32" s="2">
        <v>1.4319290869884951</v>
      </c>
      <c r="J32" s="2">
        <v>1.233809695484799</v>
      </c>
      <c r="K32" s="2">
        <v>1.03583748972303</v>
      </c>
      <c r="L32" s="2">
        <v>1.007728366582417</v>
      </c>
      <c r="M32" s="2">
        <v>1.070606619013124</v>
      </c>
      <c r="N32" s="2">
        <v>1.1968921927763521</v>
      </c>
    </row>
    <row r="33" spans="1:14" x14ac:dyDescent="0.15">
      <c r="A33" s="2">
        <v>3</v>
      </c>
      <c r="B33" s="2">
        <v>260610</v>
      </c>
      <c r="C33" s="2" t="s">
        <v>49</v>
      </c>
      <c r="D33" s="2" t="s">
        <v>20</v>
      </c>
      <c r="E33" s="2" t="s">
        <v>50</v>
      </c>
      <c r="F33" s="2">
        <v>15.7</v>
      </c>
      <c r="G33" s="2">
        <v>1.6497629239904199</v>
      </c>
      <c r="H33" s="2">
        <v>1.813128933252937</v>
      </c>
      <c r="I33" s="2">
        <v>1.8232712980253769</v>
      </c>
      <c r="J33" s="2">
        <v>1.6965352881788029</v>
      </c>
      <c r="K33" s="2">
        <v>1.3966631454874081</v>
      </c>
      <c r="L33" s="2">
        <v>1.286440561429776</v>
      </c>
      <c r="M33" s="2">
        <v>1.299701342907736</v>
      </c>
      <c r="N33" s="2">
        <v>1.4139714906780321</v>
      </c>
    </row>
    <row r="34" spans="1:14" x14ac:dyDescent="0.15">
      <c r="A34" s="2">
        <v>3</v>
      </c>
      <c r="B34" s="2">
        <v>260610</v>
      </c>
      <c r="C34" s="2" t="s">
        <v>51</v>
      </c>
      <c r="D34" s="2" t="s">
        <v>20</v>
      </c>
      <c r="E34" s="2" t="s">
        <v>52</v>
      </c>
      <c r="F34" s="2">
        <v>15.6</v>
      </c>
      <c r="G34" s="2">
        <v>4.4772767688945194</v>
      </c>
      <c r="H34" s="2">
        <v>4.6498878369239831</v>
      </c>
      <c r="I34" s="2">
        <v>5.73101427824494</v>
      </c>
      <c r="J34" s="2">
        <v>5.6149192179208063</v>
      </c>
      <c r="K34" s="2">
        <v>5.4177459435396473</v>
      </c>
      <c r="L34" s="2">
        <v>5.0801076306649806</v>
      </c>
      <c r="M34" s="2">
        <v>5.1247439985069123</v>
      </c>
      <c r="N34" s="2">
        <v>5.5845776212331346</v>
      </c>
    </row>
    <row r="35" spans="1:14" x14ac:dyDescent="0.15">
      <c r="A35" s="2">
        <v>3</v>
      </c>
      <c r="B35" s="2">
        <v>260610</v>
      </c>
      <c r="C35" s="2" t="s">
        <v>53</v>
      </c>
      <c r="D35" s="2" t="s">
        <v>20</v>
      </c>
      <c r="E35" s="2" t="s">
        <v>54</v>
      </c>
      <c r="F35" s="2">
        <v>9.1000000000000014</v>
      </c>
      <c r="G35" s="2">
        <v>2.042583169242957</v>
      </c>
      <c r="H35" s="2">
        <v>2.4288471348780609</v>
      </c>
      <c r="I35" s="2">
        <v>2.4648903702764531</v>
      </c>
      <c r="J35" s="2">
        <v>2.150956376060996</v>
      </c>
      <c r="K35" s="2">
        <v>1.699454345276777</v>
      </c>
      <c r="L35" s="2">
        <v>1.524835832585139</v>
      </c>
      <c r="M35" s="2">
        <v>1.4249679854915089</v>
      </c>
      <c r="N35" s="2">
        <v>1.4239783113026629</v>
      </c>
    </row>
    <row r="36" spans="1:14" x14ac:dyDescent="0.15">
      <c r="A36" s="2">
        <v>3</v>
      </c>
      <c r="B36" s="2">
        <v>260610</v>
      </c>
      <c r="C36" s="2" t="s">
        <v>32</v>
      </c>
      <c r="D36" s="2" t="s">
        <v>20</v>
      </c>
      <c r="E36" s="2" t="s">
        <v>55</v>
      </c>
      <c r="F36" s="2">
        <v>15</v>
      </c>
      <c r="G36" s="2">
        <v>2.3558070055390692</v>
      </c>
      <c r="H36" s="2">
        <v>2.5655909826553791</v>
      </c>
      <c r="I36" s="2">
        <v>2.7640731513505301</v>
      </c>
      <c r="J36" s="2">
        <v>2.826443141778749</v>
      </c>
      <c r="K36" s="2">
        <v>2.4753108565470039</v>
      </c>
      <c r="L36" s="2">
        <v>2.2407957363081632</v>
      </c>
      <c r="M36" s="2">
        <v>2.078289169112451</v>
      </c>
      <c r="N36" s="2">
        <v>2.0435055935326121</v>
      </c>
    </row>
    <row r="37" spans="1:14" x14ac:dyDescent="0.15">
      <c r="A37" s="2">
        <v>3</v>
      </c>
      <c r="B37" s="2">
        <v>260610</v>
      </c>
      <c r="C37" s="2" t="s">
        <v>34</v>
      </c>
      <c r="D37" s="2" t="s">
        <v>20</v>
      </c>
      <c r="E37" s="2" t="s">
        <v>56</v>
      </c>
      <c r="F37" s="2">
        <v>13.3</v>
      </c>
      <c r="G37" s="2">
        <v>1.805335446668203</v>
      </c>
      <c r="H37" s="2">
        <v>1.9817771299361511</v>
      </c>
      <c r="I37" s="2">
        <v>1.819222100036076</v>
      </c>
      <c r="J37" s="2">
        <v>1.9097392845258301</v>
      </c>
      <c r="K37" s="2">
        <v>1.808768665785782</v>
      </c>
      <c r="L37" s="2">
        <v>1.614359807726419</v>
      </c>
      <c r="M37" s="2">
        <v>1.515963370614138</v>
      </c>
      <c r="N37" s="2">
        <v>1.5252726086701329</v>
      </c>
    </row>
    <row r="38" spans="1:14" x14ac:dyDescent="0.15">
      <c r="A38" s="2">
        <v>6</v>
      </c>
      <c r="B38" s="2">
        <v>260702</v>
      </c>
      <c r="C38" s="2" t="s">
        <v>45</v>
      </c>
      <c r="D38" s="2" t="s">
        <v>60</v>
      </c>
      <c r="E38" s="2" t="s">
        <v>89</v>
      </c>
      <c r="F38" s="2">
        <v>3.2</v>
      </c>
      <c r="G38" s="2">
        <v>0.94436504267443422</v>
      </c>
      <c r="H38" s="2">
        <v>0.94189377033034571</v>
      </c>
      <c r="I38" s="2">
        <v>0.78573205847141936</v>
      </c>
      <c r="J38" s="2">
        <v>0.6657603537346064</v>
      </c>
      <c r="K38" s="2">
        <v>0.60499627405455803</v>
      </c>
      <c r="L38" s="2">
        <v>0.65513143958119113</v>
      </c>
      <c r="M38" s="2">
        <v>0.75771684627212765</v>
      </c>
      <c r="N38" s="2">
        <v>0.91625450908172446</v>
      </c>
    </row>
    <row r="39" spans="1:14" x14ac:dyDescent="0.15">
      <c r="A39" s="2">
        <v>6</v>
      </c>
      <c r="B39" s="2">
        <v>260702</v>
      </c>
      <c r="C39" s="2" t="s">
        <v>90</v>
      </c>
      <c r="D39" s="2" t="s">
        <v>60</v>
      </c>
      <c r="E39" s="2" t="s">
        <v>91</v>
      </c>
      <c r="F39" s="2">
        <v>4.4000000000000004</v>
      </c>
      <c r="G39" s="2">
        <v>1.285676486432471</v>
      </c>
      <c r="H39" s="2">
        <v>1.368582885426237</v>
      </c>
      <c r="I39" s="2">
        <v>1.2817682082935631</v>
      </c>
      <c r="J39" s="2">
        <v>1.095770803688505</v>
      </c>
      <c r="K39" s="2">
        <v>0.94403074818321242</v>
      </c>
      <c r="L39" s="2">
        <v>0.95728759750088721</v>
      </c>
      <c r="M39" s="2">
        <v>1.055294705793405</v>
      </c>
      <c r="N39" s="2">
        <v>1.1957829353078451</v>
      </c>
    </row>
    <row r="40" spans="1:14" x14ac:dyDescent="0.15">
      <c r="A40" s="2">
        <v>6</v>
      </c>
      <c r="B40" s="2">
        <v>260702</v>
      </c>
      <c r="C40" s="2" t="s">
        <v>92</v>
      </c>
      <c r="D40" s="2" t="s">
        <v>60</v>
      </c>
      <c r="E40" s="2" t="s">
        <v>93</v>
      </c>
      <c r="F40" s="2">
        <v>4.4000000000000004</v>
      </c>
      <c r="G40" s="2">
        <v>1.4464788599180529</v>
      </c>
      <c r="H40" s="2">
        <v>1.2303333796578031</v>
      </c>
      <c r="I40" s="2">
        <v>1.0307026336025851</v>
      </c>
      <c r="J40" s="2">
        <v>0.81964764862526185</v>
      </c>
      <c r="K40" s="2">
        <v>0.62040482008225573</v>
      </c>
      <c r="L40" s="2">
        <v>0.74058929710825216</v>
      </c>
      <c r="M40" s="2">
        <v>0.70703084062133126</v>
      </c>
      <c r="N40" s="2">
        <v>0.89416862281325626</v>
      </c>
    </row>
    <row r="41" spans="1:14" x14ac:dyDescent="0.15">
      <c r="A41" s="2">
        <v>6</v>
      </c>
      <c r="B41" s="2">
        <v>260702</v>
      </c>
      <c r="C41" s="2" t="s">
        <v>49</v>
      </c>
      <c r="D41" s="2" t="s">
        <v>60</v>
      </c>
      <c r="E41" s="2" t="s">
        <v>94</v>
      </c>
      <c r="F41" s="2">
        <v>13.87</v>
      </c>
      <c r="G41" s="2">
        <v>1.3702808661272079</v>
      </c>
      <c r="H41" s="2">
        <v>1.303943262477546</v>
      </c>
      <c r="I41" s="2">
        <v>1.0590583867810479</v>
      </c>
      <c r="J41" s="2">
        <v>0.70976952613867561</v>
      </c>
      <c r="K41" s="2">
        <v>1.0242569006925351</v>
      </c>
      <c r="L41" s="2">
        <v>1.003491490649522</v>
      </c>
      <c r="M41" s="2">
        <v>1.061712201735622</v>
      </c>
      <c r="N41" s="2">
        <v>1.061092657774992</v>
      </c>
    </row>
    <row r="42" spans="1:14" x14ac:dyDescent="0.15">
      <c r="A42" s="2">
        <v>6</v>
      </c>
      <c r="B42" s="2">
        <v>260702</v>
      </c>
      <c r="C42" s="2" t="s">
        <v>51</v>
      </c>
      <c r="D42" s="2" t="s">
        <v>60</v>
      </c>
      <c r="E42" s="2" t="s">
        <v>95</v>
      </c>
      <c r="F42" s="2">
        <v>26.2</v>
      </c>
      <c r="G42" s="2">
        <v>2.101183170277964</v>
      </c>
      <c r="H42" s="2">
        <v>2.3224341028148259</v>
      </c>
      <c r="I42" s="2">
        <v>2.1241328746066648</v>
      </c>
      <c r="J42" s="2">
        <v>1.6795845800549929</v>
      </c>
      <c r="K42" s="2">
        <v>1.330934842177069</v>
      </c>
      <c r="L42" s="2">
        <v>1.334808408204545</v>
      </c>
      <c r="M42" s="2">
        <v>1.2479525970417911</v>
      </c>
      <c r="N42" s="2">
        <v>1.458121529612546</v>
      </c>
    </row>
    <row r="43" spans="1:14" x14ac:dyDescent="0.15">
      <c r="A43" s="2">
        <v>6</v>
      </c>
      <c r="B43" s="2">
        <v>260702</v>
      </c>
      <c r="C43" s="2" t="s">
        <v>53</v>
      </c>
      <c r="D43" s="2" t="s">
        <v>60</v>
      </c>
      <c r="E43" s="2" t="s">
        <v>96</v>
      </c>
      <c r="F43" s="2">
        <v>38.729999999999997</v>
      </c>
      <c r="G43" s="2">
        <v>2.394284651501315</v>
      </c>
      <c r="H43" s="2">
        <v>2.7747990261939499</v>
      </c>
      <c r="I43" s="2">
        <v>2.7549894619755579</v>
      </c>
      <c r="J43" s="2">
        <v>2.426931170010592</v>
      </c>
      <c r="K43" s="2">
        <v>1.8604956154874199</v>
      </c>
      <c r="L43" s="2">
        <v>1.678547350004562</v>
      </c>
      <c r="M43" s="2">
        <v>1.61973350288713</v>
      </c>
      <c r="N43" s="2">
        <v>1.718017349468165</v>
      </c>
    </row>
    <row r="44" spans="1:14" x14ac:dyDescent="0.15">
      <c r="A44" s="2">
        <v>6</v>
      </c>
      <c r="B44" s="2">
        <v>260702</v>
      </c>
      <c r="C44" s="2" t="s">
        <v>85</v>
      </c>
      <c r="D44" s="2" t="s">
        <v>60</v>
      </c>
      <c r="E44" s="2" t="s">
        <v>97</v>
      </c>
      <c r="F44" s="2">
        <v>25</v>
      </c>
      <c r="G44" s="2">
        <v>2.0334270401856589</v>
      </c>
      <c r="H44" s="2">
        <v>2.0830541468524841</v>
      </c>
      <c r="I44" s="2">
        <v>1.762018739611686</v>
      </c>
      <c r="J44" s="2">
        <v>1.1299264212126701</v>
      </c>
      <c r="K44" s="2">
        <v>0.97729895724546723</v>
      </c>
      <c r="L44" s="2">
        <v>0.89578499053892202</v>
      </c>
      <c r="M44" s="2">
        <v>0.65929854247645892</v>
      </c>
      <c r="N44" s="2">
        <v>0.86097558205816904</v>
      </c>
    </row>
    <row r="45" spans="1:14" x14ac:dyDescent="0.15">
      <c r="A45" s="2">
        <v>6</v>
      </c>
      <c r="B45" s="2">
        <v>260702</v>
      </c>
      <c r="C45" s="2" t="s">
        <v>34</v>
      </c>
      <c r="D45" s="2" t="s">
        <v>60</v>
      </c>
      <c r="E45" s="2" t="s">
        <v>98</v>
      </c>
      <c r="F45" s="2">
        <v>17.2</v>
      </c>
      <c r="G45" s="2">
        <v>2.1794971586212069</v>
      </c>
      <c r="H45" s="2">
        <v>2.406478403663884</v>
      </c>
      <c r="I45" s="2">
        <v>2.5164279757067489</v>
      </c>
      <c r="J45" s="2">
        <v>2.3153177013556121</v>
      </c>
      <c r="K45" s="2">
        <v>1.863512352412749</v>
      </c>
      <c r="L45" s="2">
        <v>1.732049973295525</v>
      </c>
      <c r="M45" s="2">
        <v>1.6612830518630379</v>
      </c>
      <c r="N45" s="2">
        <v>1.712162966927451</v>
      </c>
    </row>
    <row r="46" spans="1:14" x14ac:dyDescent="0.15">
      <c r="A46" s="2">
        <v>6</v>
      </c>
      <c r="B46" s="2">
        <v>260702</v>
      </c>
      <c r="C46" s="2" t="s">
        <v>32</v>
      </c>
      <c r="D46" s="2" t="s">
        <v>60</v>
      </c>
      <c r="E46" s="2" t="s">
        <v>99</v>
      </c>
      <c r="F46" s="2">
        <v>22.13</v>
      </c>
      <c r="G46" s="2">
        <v>1.884321081569122</v>
      </c>
      <c r="H46" s="2">
        <v>2.056808721595424</v>
      </c>
      <c r="I46" s="2">
        <v>2.2175783044036859</v>
      </c>
      <c r="J46" s="2">
        <v>2.0838405017181829</v>
      </c>
      <c r="K46" s="2">
        <v>1.6992036853019681</v>
      </c>
      <c r="L46" s="2">
        <v>1.5692470119555251</v>
      </c>
      <c r="M46" s="2">
        <v>1.5173142472445831</v>
      </c>
      <c r="N46" s="2">
        <v>1.5737045605954501</v>
      </c>
    </row>
    <row r="47" spans="1:14" x14ac:dyDescent="0.15">
      <c r="A47" s="2">
        <v>7</v>
      </c>
      <c r="B47" s="2">
        <v>260709</v>
      </c>
      <c r="C47" s="2" t="s">
        <v>36</v>
      </c>
      <c r="D47" s="2" t="s">
        <v>60</v>
      </c>
      <c r="E47" s="2" t="s">
        <v>100</v>
      </c>
      <c r="F47" s="2">
        <v>6.27</v>
      </c>
      <c r="G47" s="2">
        <v>2.3957447174942779</v>
      </c>
      <c r="H47" s="2">
        <v>2.4385592707526502</v>
      </c>
      <c r="I47" s="2">
        <v>2.8285741084756628</v>
      </c>
      <c r="J47" s="2">
        <v>2.7785097360088709</v>
      </c>
      <c r="K47" s="2">
        <v>2.670348214567499</v>
      </c>
      <c r="L47" s="2">
        <v>2.338441358728089</v>
      </c>
      <c r="M47" s="2">
        <v>2.165224231285376</v>
      </c>
      <c r="N47" s="2">
        <v>2.0010104690623831</v>
      </c>
    </row>
    <row r="48" spans="1:14" x14ac:dyDescent="0.15">
      <c r="A48" s="2">
        <v>7</v>
      </c>
      <c r="B48" s="2">
        <v>260709</v>
      </c>
      <c r="C48" s="2" t="s">
        <v>19</v>
      </c>
      <c r="D48" s="2" t="s">
        <v>60</v>
      </c>
      <c r="E48" s="2" t="s">
        <v>101</v>
      </c>
      <c r="F48" s="2">
        <v>23.47</v>
      </c>
      <c r="G48" s="2">
        <v>2.002085416671525</v>
      </c>
      <c r="H48" s="2">
        <v>2.2691532488051989</v>
      </c>
      <c r="I48" s="2">
        <v>2.3051349712761682</v>
      </c>
      <c r="J48" s="2">
        <v>2.0936249059438801</v>
      </c>
      <c r="K48" s="2">
        <v>1.685522448285969</v>
      </c>
      <c r="L48" s="2">
        <v>1.6081588415725321</v>
      </c>
      <c r="M48" s="2">
        <v>1.5467499712584269</v>
      </c>
      <c r="N48" s="2">
        <v>1.5426175402986471</v>
      </c>
    </row>
    <row r="49" spans="1:14" x14ac:dyDescent="0.15">
      <c r="A49" s="2">
        <v>7</v>
      </c>
      <c r="B49" s="2">
        <v>260709</v>
      </c>
      <c r="C49" s="2" t="s">
        <v>22</v>
      </c>
      <c r="D49" s="2" t="s">
        <v>60</v>
      </c>
      <c r="E49" s="2" t="s">
        <v>102</v>
      </c>
      <c r="F49" s="2">
        <v>8.5500000000000007</v>
      </c>
      <c r="G49" s="2">
        <v>1.8966608333525901</v>
      </c>
      <c r="H49" s="2">
        <v>2.299209642932269</v>
      </c>
      <c r="I49" s="2">
        <v>2.421192164900861</v>
      </c>
      <c r="J49" s="2">
        <v>2.183191112311702</v>
      </c>
      <c r="K49" s="2">
        <v>1.6635403759682039</v>
      </c>
      <c r="L49" s="2">
        <v>1.429532326586509</v>
      </c>
      <c r="M49" s="2">
        <v>1.259992381217562</v>
      </c>
      <c r="N49" s="2">
        <v>1.163053017326227</v>
      </c>
    </row>
    <row r="50" spans="1:14" x14ac:dyDescent="0.15">
      <c r="A50" s="2">
        <v>7</v>
      </c>
      <c r="B50" s="2">
        <v>260709</v>
      </c>
      <c r="C50" s="2" t="s">
        <v>24</v>
      </c>
      <c r="D50" s="2" t="s">
        <v>60</v>
      </c>
      <c r="E50" s="2" t="s">
        <v>103</v>
      </c>
      <c r="F50" s="2">
        <v>3.23</v>
      </c>
      <c r="G50" s="2">
        <v>4.4121412540764986</v>
      </c>
      <c r="H50" s="2">
        <v>3.8756272752618388</v>
      </c>
      <c r="I50" s="2">
        <v>2.4303894911171451</v>
      </c>
      <c r="J50" s="2">
        <v>2.2644460643771849</v>
      </c>
      <c r="K50" s="2">
        <v>0.29039971188865638</v>
      </c>
      <c r="L50" s="2">
        <v>0.13666061785214639</v>
      </c>
      <c r="M50" s="2">
        <v>2.057171533563289</v>
      </c>
      <c r="N50" s="2">
        <v>0.21899489844226969</v>
      </c>
    </row>
    <row r="51" spans="1:14" x14ac:dyDescent="0.15">
      <c r="A51" s="2">
        <v>7</v>
      </c>
      <c r="B51" s="2">
        <v>260709</v>
      </c>
      <c r="C51" s="2" t="s">
        <v>70</v>
      </c>
      <c r="D51" s="2" t="s">
        <v>60</v>
      </c>
      <c r="E51" s="2" t="s">
        <v>104</v>
      </c>
      <c r="F51" s="2">
        <v>3.73</v>
      </c>
      <c r="G51" s="2">
        <v>2.8705770967667581</v>
      </c>
      <c r="H51" s="2">
        <v>2.9549974011623972</v>
      </c>
      <c r="I51" s="2">
        <v>3.2499959678210382</v>
      </c>
      <c r="J51" s="2">
        <v>3.4604604515270778</v>
      </c>
      <c r="K51" s="2">
        <v>3.0834763885814169</v>
      </c>
      <c r="L51" s="2">
        <v>2.8046129214430531</v>
      </c>
      <c r="M51" s="2">
        <v>2.435095367805614</v>
      </c>
      <c r="N51" s="2">
        <v>2.164501276385375</v>
      </c>
    </row>
    <row r="52" spans="1:14" x14ac:dyDescent="0.15">
      <c r="A52" s="2">
        <v>7</v>
      </c>
      <c r="B52" s="2">
        <v>260709</v>
      </c>
      <c r="C52" s="2" t="s">
        <v>72</v>
      </c>
      <c r="D52" s="2" t="s">
        <v>60</v>
      </c>
      <c r="E52" s="2" t="s">
        <v>105</v>
      </c>
      <c r="F52" s="2">
        <v>3.73</v>
      </c>
      <c r="G52" s="2">
        <v>4.0661700412766972</v>
      </c>
      <c r="H52" s="2">
        <v>4.9262963353873266</v>
      </c>
      <c r="I52" s="2">
        <v>2.7448467691620819</v>
      </c>
      <c r="J52" s="2">
        <v>4.3949057710946038</v>
      </c>
      <c r="K52" s="2">
        <v>3.8592405728884329</v>
      </c>
      <c r="L52" s="2">
        <v>2.7005248913758981</v>
      </c>
      <c r="M52" s="2">
        <v>2.435374989024754</v>
      </c>
      <c r="N52" s="2">
        <v>2.3411729427859682</v>
      </c>
    </row>
    <row r="53" spans="1:14" x14ac:dyDescent="0.15">
      <c r="A53" s="2">
        <v>7</v>
      </c>
      <c r="B53" s="2">
        <v>260709</v>
      </c>
      <c r="C53" s="2" t="s">
        <v>43</v>
      </c>
      <c r="D53" s="2" t="s">
        <v>60</v>
      </c>
      <c r="E53" s="2" t="s">
        <v>106</v>
      </c>
      <c r="F53" s="2">
        <v>6.53</v>
      </c>
      <c r="G53" s="2">
        <v>6.3563258669107574</v>
      </c>
      <c r="H53" s="2">
        <v>7.0480413426013619</v>
      </c>
      <c r="I53" s="2">
        <v>3.8575091648218578</v>
      </c>
      <c r="J53" s="2">
        <v>4.1156977323817339</v>
      </c>
      <c r="K53" s="2">
        <v>1.9447050758146061</v>
      </c>
      <c r="L53" s="2">
        <v>1.188856333208564</v>
      </c>
      <c r="M53" s="2">
        <v>0.34723217688149072</v>
      </c>
      <c r="N53" s="2">
        <v>-0.10706280113249381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"/>
  <sheetViews>
    <sheetView workbookViewId="0">
      <selection activeCell="H24" sqref="H24"/>
    </sheetView>
  </sheetViews>
  <sheetFormatPr baseColWidth="10" defaultRowHeight="15" x14ac:dyDescent="0.2"/>
  <sheetData>
    <row r="1" spans="1:9" x14ac:dyDescent="0.2">
      <c r="A1" t="s">
        <v>165</v>
      </c>
    </row>
    <row r="2" spans="1:9" ht="16" customHeight="1" thickBot="1" x14ac:dyDescent="0.25"/>
    <row r="3" spans="1:9" x14ac:dyDescent="0.2">
      <c r="A3" s="5" t="s">
        <v>166</v>
      </c>
      <c r="B3" s="5"/>
    </row>
    <row r="4" spans="1:9" x14ac:dyDescent="0.2">
      <c r="A4" t="s">
        <v>167</v>
      </c>
      <c r="B4">
        <v>0.76151193945464835</v>
      </c>
    </row>
    <row r="5" spans="1:9" x14ac:dyDescent="0.2">
      <c r="A5" t="s">
        <v>168</v>
      </c>
      <c r="B5">
        <v>0.57990043393197999</v>
      </c>
    </row>
    <row r="6" spans="1:9" x14ac:dyDescent="0.2">
      <c r="A6" t="s">
        <v>169</v>
      </c>
      <c r="B6">
        <v>-5.0248915170050028E-2</v>
      </c>
    </row>
    <row r="7" spans="1:9" x14ac:dyDescent="0.2">
      <c r="A7" t="s">
        <v>170</v>
      </c>
      <c r="B7">
        <v>3.5809480827365512</v>
      </c>
    </row>
    <row r="8" spans="1:9" ht="16" customHeight="1" thickBot="1" x14ac:dyDescent="0.25">
      <c r="A8" s="3" t="s">
        <v>171</v>
      </c>
      <c r="B8" s="3">
        <v>6</v>
      </c>
    </row>
    <row r="10" spans="1:9" ht="16" customHeight="1" thickBot="1" x14ac:dyDescent="0.25">
      <c r="A10" t="s">
        <v>172</v>
      </c>
    </row>
    <row r="11" spans="1:9" x14ac:dyDescent="0.2">
      <c r="A11" s="4"/>
      <c r="B11" s="4" t="s">
        <v>173</v>
      </c>
      <c r="C11" s="4" t="s">
        <v>174</v>
      </c>
      <c r="D11" s="4" t="s">
        <v>175</v>
      </c>
      <c r="E11" s="4" t="s">
        <v>176</v>
      </c>
      <c r="F11" s="4" t="s">
        <v>177</v>
      </c>
    </row>
    <row r="12" spans="1:9" x14ac:dyDescent="0.2">
      <c r="A12" t="s">
        <v>178</v>
      </c>
      <c r="B12">
        <v>3</v>
      </c>
      <c r="C12">
        <v>35.401954990824152</v>
      </c>
      <c r="D12">
        <v>11.800651663608051</v>
      </c>
      <c r="E12">
        <v>0.92025872082284121</v>
      </c>
      <c r="F12">
        <v>0.55839889586586566</v>
      </c>
    </row>
    <row r="13" spans="1:9" x14ac:dyDescent="0.2">
      <c r="A13" t="s">
        <v>179</v>
      </c>
      <c r="B13">
        <v>2</v>
      </c>
      <c r="C13">
        <v>25.646378342509159</v>
      </c>
      <c r="D13">
        <v>12.82318917125458</v>
      </c>
    </row>
    <row r="14" spans="1:9" ht="16" customHeight="1" thickBot="1" x14ac:dyDescent="0.25">
      <c r="A14" s="3" t="s">
        <v>180</v>
      </c>
      <c r="B14" s="3">
        <v>5</v>
      </c>
      <c r="C14" s="3">
        <v>61.048333333333318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181</v>
      </c>
      <c r="C16" s="4" t="s">
        <v>170</v>
      </c>
      <c r="D16" s="4" t="s">
        <v>182</v>
      </c>
      <c r="E16" s="4" t="s">
        <v>183</v>
      </c>
      <c r="F16" s="4" t="s">
        <v>184</v>
      </c>
      <c r="G16" s="4" t="s">
        <v>185</v>
      </c>
      <c r="H16" s="4" t="s">
        <v>186</v>
      </c>
      <c r="I16" s="4" t="s">
        <v>187</v>
      </c>
    </row>
    <row r="17" spans="1:9" x14ac:dyDescent="0.2">
      <c r="A17" t="s">
        <v>188</v>
      </c>
      <c r="B17">
        <v>-15.39919741910634</v>
      </c>
      <c r="C17">
        <v>14.17769392292354</v>
      </c>
      <c r="D17">
        <v>-1.086156712285048</v>
      </c>
      <c r="E17">
        <v>0.39088831502364041</v>
      </c>
      <c r="F17">
        <v>-76.400890878125708</v>
      </c>
      <c r="G17">
        <v>45.602496039913028</v>
      </c>
      <c r="H17">
        <v>-76.400890878125708</v>
      </c>
      <c r="I17">
        <v>45.602496039913028</v>
      </c>
    </row>
    <row r="18" spans="1:9" x14ac:dyDescent="0.2">
      <c r="A18" t="s">
        <v>5</v>
      </c>
      <c r="B18">
        <v>0.7869912782312527</v>
      </c>
      <c r="C18">
        <v>1.526514710772628</v>
      </c>
      <c r="D18">
        <v>0.5155477852112712</v>
      </c>
      <c r="E18">
        <v>0.65750112940482575</v>
      </c>
      <c r="F18">
        <v>-5.7810714090773088</v>
      </c>
      <c r="G18">
        <v>7.3550539655398142</v>
      </c>
      <c r="H18">
        <v>-5.7810714090773088</v>
      </c>
      <c r="I18">
        <v>7.3550539655398142</v>
      </c>
    </row>
    <row r="19" spans="1:9" x14ac:dyDescent="0.2">
      <c r="A19" t="s">
        <v>7</v>
      </c>
      <c r="B19">
        <v>8.6714797209944923</v>
      </c>
      <c r="C19">
        <v>6.897666395916553</v>
      </c>
      <c r="D19">
        <v>1.2571613678110101</v>
      </c>
      <c r="E19">
        <v>0.33561176273933202</v>
      </c>
      <c r="F19">
        <v>-21.006783426297009</v>
      </c>
      <c r="G19">
        <v>38.349742868285993</v>
      </c>
      <c r="H19">
        <v>-21.006783426297009</v>
      </c>
      <c r="I19">
        <v>38.349742868285993</v>
      </c>
    </row>
    <row r="20" spans="1:9" ht="16" customHeight="1" thickBot="1" x14ac:dyDescent="0.25">
      <c r="A20" s="3" t="s">
        <v>9</v>
      </c>
      <c r="B20" s="3">
        <v>-1.366142110638366</v>
      </c>
      <c r="C20" s="3">
        <v>6.9300656040713209</v>
      </c>
      <c r="D20" s="3">
        <v>-0.1971326375086227</v>
      </c>
      <c r="E20" s="3">
        <v>0.86194100941091922</v>
      </c>
      <c r="F20" s="3">
        <v>-31.183807799338702</v>
      </c>
      <c r="G20" s="3">
        <v>28.45152357806197</v>
      </c>
      <c r="H20" s="3">
        <v>-31.183807799338702</v>
      </c>
      <c r="I20" s="3">
        <v>28.45152357806197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"/>
  <sheetViews>
    <sheetView workbookViewId="0">
      <selection activeCell="A3" sqref="A3:I21"/>
    </sheetView>
  </sheetViews>
  <sheetFormatPr baseColWidth="10" defaultRowHeight="15" x14ac:dyDescent="0.2"/>
  <sheetData>
    <row r="1" spans="1:9" x14ac:dyDescent="0.2">
      <c r="A1" t="s">
        <v>165</v>
      </c>
    </row>
    <row r="2" spans="1:9" ht="16" customHeight="1" thickBot="1" x14ac:dyDescent="0.25"/>
    <row r="3" spans="1:9" x14ac:dyDescent="0.2">
      <c r="A3" s="5" t="s">
        <v>166</v>
      </c>
      <c r="B3" s="5"/>
    </row>
    <row r="4" spans="1:9" x14ac:dyDescent="0.2">
      <c r="A4" t="s">
        <v>167</v>
      </c>
      <c r="B4">
        <v>0.61439597235404875</v>
      </c>
    </row>
    <row r="5" spans="1:9" x14ac:dyDescent="0.2">
      <c r="A5" t="s">
        <v>168</v>
      </c>
      <c r="B5">
        <v>0.37748241084487699</v>
      </c>
    </row>
    <row r="6" spans="1:9" x14ac:dyDescent="0.2">
      <c r="A6" t="s">
        <v>169</v>
      </c>
      <c r="B6">
        <v>0.16997654779316931</v>
      </c>
    </row>
    <row r="7" spans="1:9" x14ac:dyDescent="0.2">
      <c r="A7" t="s">
        <v>170</v>
      </c>
      <c r="B7">
        <v>4.6923988266462757</v>
      </c>
    </row>
    <row r="8" spans="1:9" ht="16" customHeight="1" thickBot="1" x14ac:dyDescent="0.25">
      <c r="A8" s="3" t="s">
        <v>171</v>
      </c>
      <c r="B8" s="3">
        <v>13</v>
      </c>
    </row>
    <row r="10" spans="1:9" ht="16" customHeight="1" thickBot="1" x14ac:dyDescent="0.25">
      <c r="A10" t="s">
        <v>172</v>
      </c>
    </row>
    <row r="11" spans="1:9" x14ac:dyDescent="0.2">
      <c r="A11" s="4"/>
      <c r="B11" s="4" t="s">
        <v>173</v>
      </c>
      <c r="C11" s="4" t="s">
        <v>174</v>
      </c>
      <c r="D11" s="4" t="s">
        <v>175</v>
      </c>
      <c r="E11" s="4" t="s">
        <v>176</v>
      </c>
      <c r="F11" s="4" t="s">
        <v>177</v>
      </c>
    </row>
    <row r="12" spans="1:9" x14ac:dyDescent="0.2">
      <c r="A12" t="s">
        <v>178</v>
      </c>
      <c r="B12">
        <v>3</v>
      </c>
      <c r="C12">
        <v>120.1648469575055</v>
      </c>
      <c r="D12">
        <v>40.054948985835154</v>
      </c>
      <c r="E12">
        <v>1.819140940373398</v>
      </c>
      <c r="F12">
        <v>0.2137948021930681</v>
      </c>
    </row>
    <row r="13" spans="1:9" x14ac:dyDescent="0.2">
      <c r="A13" t="s">
        <v>179</v>
      </c>
      <c r="B13">
        <v>9</v>
      </c>
      <c r="C13">
        <v>198.16746073480209</v>
      </c>
      <c r="D13">
        <v>22.018606748311349</v>
      </c>
    </row>
    <row r="14" spans="1:9" ht="16" customHeight="1" thickBot="1" x14ac:dyDescent="0.25">
      <c r="A14" s="3" t="s">
        <v>180</v>
      </c>
      <c r="B14" s="3">
        <v>12</v>
      </c>
      <c r="C14" s="3">
        <v>318.33230769230761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181</v>
      </c>
      <c r="C16" s="4" t="s">
        <v>170</v>
      </c>
      <c r="D16" s="4" t="s">
        <v>182</v>
      </c>
      <c r="E16" s="4" t="s">
        <v>183</v>
      </c>
      <c r="F16" s="4" t="s">
        <v>184</v>
      </c>
      <c r="G16" s="4" t="s">
        <v>185</v>
      </c>
      <c r="H16" s="4" t="s">
        <v>186</v>
      </c>
      <c r="I16" s="4" t="s">
        <v>187</v>
      </c>
    </row>
    <row r="17" spans="1:9" x14ac:dyDescent="0.2">
      <c r="A17" t="s">
        <v>188</v>
      </c>
      <c r="B17">
        <v>9.7366254048772998</v>
      </c>
      <c r="C17">
        <v>4.539159094957431</v>
      </c>
      <c r="D17">
        <v>2.14502845156799</v>
      </c>
      <c r="E17">
        <v>6.0524205385574292E-2</v>
      </c>
      <c r="F17">
        <v>-0.53166585486127182</v>
      </c>
      <c r="G17">
        <v>20.00491666461587</v>
      </c>
      <c r="H17">
        <v>-0.53166585486127182</v>
      </c>
      <c r="I17">
        <v>20.00491666461587</v>
      </c>
    </row>
    <row r="18" spans="1:9" x14ac:dyDescent="0.2">
      <c r="A18" t="s">
        <v>5</v>
      </c>
      <c r="B18">
        <v>-2.369012849563886</v>
      </c>
      <c r="C18">
        <v>1.339143483539039</v>
      </c>
      <c r="D18">
        <v>-1.7690507990250199</v>
      </c>
      <c r="E18">
        <v>0.11067207207551349</v>
      </c>
      <c r="F18">
        <v>-5.3983658728662638</v>
      </c>
      <c r="G18">
        <v>0.66034017373849263</v>
      </c>
      <c r="H18">
        <v>-5.3983658728662638</v>
      </c>
      <c r="I18">
        <v>0.66034017373849263</v>
      </c>
    </row>
    <row r="19" spans="1:9" x14ac:dyDescent="0.2">
      <c r="A19" t="s">
        <v>7</v>
      </c>
      <c r="B19">
        <v>-4.4088680112548664</v>
      </c>
      <c r="C19">
        <v>5.1831989103022753</v>
      </c>
      <c r="D19">
        <v>-0.85060752781292526</v>
      </c>
      <c r="E19">
        <v>0.41704259429035628</v>
      </c>
      <c r="F19">
        <v>-16.134078552403011</v>
      </c>
      <c r="G19">
        <v>7.3163425298932783</v>
      </c>
      <c r="H19">
        <v>-16.134078552403011</v>
      </c>
      <c r="I19">
        <v>7.3163425298932783</v>
      </c>
    </row>
    <row r="20" spans="1:9" ht="16" customHeight="1" thickBot="1" x14ac:dyDescent="0.25">
      <c r="A20" s="3" t="s">
        <v>9</v>
      </c>
      <c r="B20" s="3">
        <v>7.6645066243786824</v>
      </c>
      <c r="C20" s="3">
        <v>5.5926119134933918</v>
      </c>
      <c r="D20" s="3">
        <v>1.3704699598208121</v>
      </c>
      <c r="E20" s="3">
        <v>0.20374834857581101</v>
      </c>
      <c r="F20" s="3">
        <v>-4.986860474480971</v>
      </c>
      <c r="G20" s="3">
        <v>20.31587372323834</v>
      </c>
      <c r="H20" s="3">
        <v>-4.986860474480971</v>
      </c>
      <c r="I20" s="3">
        <v>20.31587372323834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7"/>
  <sheetViews>
    <sheetView workbookViewId="0">
      <selection activeCell="F44" sqref="F44"/>
    </sheetView>
  </sheetViews>
  <sheetFormatPr baseColWidth="10" defaultRowHeight="15" x14ac:dyDescent="0.2"/>
  <sheetData>
    <row r="1" spans="1:9" x14ac:dyDescent="0.2">
      <c r="A1" t="s">
        <v>165</v>
      </c>
    </row>
    <row r="2" spans="1:9" ht="16" customHeight="1" thickBot="1" x14ac:dyDescent="0.25"/>
    <row r="3" spans="1:9" x14ac:dyDescent="0.2">
      <c r="A3" s="5" t="s">
        <v>166</v>
      </c>
      <c r="B3" s="5"/>
    </row>
    <row r="4" spans="1:9" x14ac:dyDescent="0.2">
      <c r="A4" t="s">
        <v>167</v>
      </c>
      <c r="B4">
        <v>0.36057180460711619</v>
      </c>
    </row>
    <row r="5" spans="1:9" x14ac:dyDescent="0.2">
      <c r="A5" t="s">
        <v>168</v>
      </c>
      <c r="B5">
        <v>0.13001202627763239</v>
      </c>
    </row>
    <row r="6" spans="1:9" x14ac:dyDescent="0.2">
      <c r="A6" t="s">
        <v>169</v>
      </c>
      <c r="B6">
        <v>2.5613469430948312E-2</v>
      </c>
    </row>
    <row r="7" spans="1:9" x14ac:dyDescent="0.2">
      <c r="A7" t="s">
        <v>170</v>
      </c>
      <c r="B7">
        <v>8.896204276793398</v>
      </c>
    </row>
    <row r="8" spans="1:9" ht="16" customHeight="1" thickBot="1" x14ac:dyDescent="0.25">
      <c r="A8" s="3" t="s">
        <v>171</v>
      </c>
      <c r="B8" s="3">
        <v>29</v>
      </c>
    </row>
    <row r="10" spans="1:9" ht="16" customHeight="1" thickBot="1" x14ac:dyDescent="0.25">
      <c r="A10" t="s">
        <v>172</v>
      </c>
    </row>
    <row r="11" spans="1:9" x14ac:dyDescent="0.2">
      <c r="A11" s="4"/>
      <c r="B11" s="4" t="s">
        <v>173</v>
      </c>
      <c r="C11" s="4" t="s">
        <v>174</v>
      </c>
      <c r="D11" s="4" t="s">
        <v>175</v>
      </c>
      <c r="E11" s="4" t="s">
        <v>176</v>
      </c>
      <c r="F11" s="4" t="s">
        <v>177</v>
      </c>
    </row>
    <row r="12" spans="1:9" x14ac:dyDescent="0.2">
      <c r="A12" t="s">
        <v>178</v>
      </c>
      <c r="B12">
        <v>3</v>
      </c>
      <c r="C12">
        <v>295.67852284596819</v>
      </c>
      <c r="D12">
        <v>98.559507615322744</v>
      </c>
      <c r="E12">
        <v>1.245343136960823</v>
      </c>
      <c r="F12">
        <v>0.31438716354529472</v>
      </c>
    </row>
    <row r="13" spans="1:9" x14ac:dyDescent="0.2">
      <c r="A13" t="s">
        <v>179</v>
      </c>
      <c r="B13">
        <v>25</v>
      </c>
      <c r="C13">
        <v>1978.5612633609289</v>
      </c>
      <c r="D13">
        <v>79.142450534437145</v>
      </c>
    </row>
    <row r="14" spans="1:9" ht="16" customHeight="1" thickBot="1" x14ac:dyDescent="0.25">
      <c r="A14" s="3" t="s">
        <v>180</v>
      </c>
      <c r="B14" s="3">
        <v>28</v>
      </c>
      <c r="C14" s="3">
        <v>2274.239786206897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181</v>
      </c>
      <c r="C16" s="4" t="s">
        <v>170</v>
      </c>
      <c r="D16" s="4" t="s">
        <v>182</v>
      </c>
      <c r="E16" s="4" t="s">
        <v>183</v>
      </c>
      <c r="F16" s="4" t="s">
        <v>184</v>
      </c>
      <c r="G16" s="4" t="s">
        <v>185</v>
      </c>
      <c r="H16" s="4" t="s">
        <v>186</v>
      </c>
      <c r="I16" s="4" t="s">
        <v>187</v>
      </c>
    </row>
    <row r="17" spans="1:9" x14ac:dyDescent="0.2">
      <c r="A17" t="s">
        <v>188</v>
      </c>
      <c r="B17">
        <v>9.4787031700211593</v>
      </c>
      <c r="C17">
        <v>4.503767014103353</v>
      </c>
      <c r="D17">
        <v>2.1046166776254212</v>
      </c>
      <c r="E17">
        <v>4.5544892496938362E-2</v>
      </c>
      <c r="F17">
        <v>0.2030213718566988</v>
      </c>
      <c r="G17">
        <v>18.754384968185619</v>
      </c>
      <c r="H17">
        <v>0.2030213718566988</v>
      </c>
      <c r="I17">
        <v>18.754384968185619</v>
      </c>
    </row>
    <row r="18" spans="1:9" x14ac:dyDescent="0.2">
      <c r="A18" t="s">
        <v>5</v>
      </c>
      <c r="B18">
        <v>-2.5526810752345619</v>
      </c>
      <c r="C18">
        <v>1.5175423248250499</v>
      </c>
      <c r="D18">
        <v>-1.6821152421754351</v>
      </c>
      <c r="E18">
        <v>0.10499756095352</v>
      </c>
      <c r="F18">
        <v>-5.6781179986466208</v>
      </c>
      <c r="G18">
        <v>0.57275584817749658</v>
      </c>
      <c r="H18">
        <v>-5.6781179986466208</v>
      </c>
      <c r="I18">
        <v>0.57275584817749658</v>
      </c>
    </row>
    <row r="19" spans="1:9" x14ac:dyDescent="0.2">
      <c r="A19" t="s">
        <v>7</v>
      </c>
      <c r="B19">
        <v>5.506713544220176</v>
      </c>
      <c r="C19">
        <v>3.4824066172986221</v>
      </c>
      <c r="D19">
        <v>1.5812953940720029</v>
      </c>
      <c r="E19">
        <v>0.12638094248802939</v>
      </c>
      <c r="F19">
        <v>-1.6654371404695349</v>
      </c>
      <c r="G19">
        <v>12.678864228909889</v>
      </c>
      <c r="H19">
        <v>-1.6654371404695349</v>
      </c>
      <c r="I19">
        <v>12.678864228909889</v>
      </c>
    </row>
    <row r="20" spans="1:9" ht="16" customHeight="1" thickBot="1" x14ac:dyDescent="0.25">
      <c r="A20" s="3" t="s">
        <v>9</v>
      </c>
      <c r="B20" s="3">
        <v>-2.618303900288943</v>
      </c>
      <c r="C20" s="3">
        <v>2.9452741064978021</v>
      </c>
      <c r="D20" s="3">
        <v>-0.88898479585057832</v>
      </c>
      <c r="E20" s="3">
        <v>0.38248563033696797</v>
      </c>
      <c r="F20" s="3">
        <v>-8.684209471047188</v>
      </c>
      <c r="G20" s="3">
        <v>3.447601670469302</v>
      </c>
      <c r="H20" s="3">
        <v>-8.684209471047188</v>
      </c>
      <c r="I20" s="3">
        <v>3.447601670469302</v>
      </c>
    </row>
    <row r="27" spans="1:9" x14ac:dyDescent="0.2">
      <c r="G27" t="s">
        <v>189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0"/>
  <sheetViews>
    <sheetView workbookViewId="0">
      <selection sqref="A1:I23"/>
    </sheetView>
  </sheetViews>
  <sheetFormatPr baseColWidth="10" defaultRowHeight="15" x14ac:dyDescent="0.2"/>
  <sheetData>
    <row r="1" spans="1:9" x14ac:dyDescent="0.2">
      <c r="A1" t="s">
        <v>165</v>
      </c>
    </row>
    <row r="2" spans="1:9" ht="16" customHeight="1" thickBot="1" x14ac:dyDescent="0.25"/>
    <row r="3" spans="1:9" x14ac:dyDescent="0.2">
      <c r="A3" s="5" t="s">
        <v>166</v>
      </c>
      <c r="B3" s="5"/>
    </row>
    <row r="4" spans="1:9" x14ac:dyDescent="0.2">
      <c r="A4" t="s">
        <v>167</v>
      </c>
      <c r="B4">
        <v>0.33087890147972032</v>
      </c>
    </row>
    <row r="5" spans="1:9" x14ac:dyDescent="0.2">
      <c r="A5" t="s">
        <v>168</v>
      </c>
      <c r="B5">
        <v>0.1094808474444265</v>
      </c>
    </row>
    <row r="6" spans="1:9" x14ac:dyDescent="0.2">
      <c r="A6" t="s">
        <v>169</v>
      </c>
      <c r="B6">
        <v>-0.18735887007409799</v>
      </c>
    </row>
    <row r="7" spans="1:9" x14ac:dyDescent="0.2">
      <c r="A7" t="s">
        <v>170</v>
      </c>
      <c r="B7">
        <v>6.2837974913794561</v>
      </c>
    </row>
    <row r="8" spans="1:9" ht="16" customHeight="1" thickBot="1" x14ac:dyDescent="0.25">
      <c r="A8" s="3" t="s">
        <v>171</v>
      </c>
      <c r="B8" s="3">
        <v>13</v>
      </c>
    </row>
    <row r="10" spans="1:9" ht="16" customHeight="1" thickBot="1" x14ac:dyDescent="0.25">
      <c r="A10" t="s">
        <v>172</v>
      </c>
    </row>
    <row r="11" spans="1:9" x14ac:dyDescent="0.2">
      <c r="A11" s="4"/>
      <c r="B11" s="4" t="s">
        <v>173</v>
      </c>
      <c r="C11" s="4" t="s">
        <v>174</v>
      </c>
      <c r="D11" s="4" t="s">
        <v>175</v>
      </c>
      <c r="E11" s="4" t="s">
        <v>176</v>
      </c>
      <c r="F11" s="4" t="s">
        <v>177</v>
      </c>
    </row>
    <row r="12" spans="1:9" x14ac:dyDescent="0.2">
      <c r="A12" t="s">
        <v>178</v>
      </c>
      <c r="B12">
        <v>3</v>
      </c>
      <c r="C12">
        <v>43.689971016768602</v>
      </c>
      <c r="D12">
        <v>14.5633236722562</v>
      </c>
      <c r="E12">
        <v>0.3688214244362169</v>
      </c>
      <c r="F12">
        <v>0.777451995031753</v>
      </c>
    </row>
    <row r="13" spans="1:9" x14ac:dyDescent="0.2">
      <c r="A13" t="s">
        <v>179</v>
      </c>
      <c r="B13">
        <v>9</v>
      </c>
      <c r="C13">
        <v>355.3749982140007</v>
      </c>
      <c r="D13">
        <v>39.486110912666753</v>
      </c>
    </row>
    <row r="14" spans="1:9" ht="16" customHeight="1" thickBot="1" x14ac:dyDescent="0.25">
      <c r="A14" s="3" t="s">
        <v>180</v>
      </c>
      <c r="B14" s="3">
        <v>12</v>
      </c>
      <c r="C14" s="3">
        <v>399.06496923076929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181</v>
      </c>
      <c r="C16" s="4" t="s">
        <v>170</v>
      </c>
      <c r="D16" s="4" t="s">
        <v>182</v>
      </c>
      <c r="E16" s="4" t="s">
        <v>183</v>
      </c>
      <c r="F16" s="4" t="s">
        <v>184</v>
      </c>
      <c r="G16" s="4" t="s">
        <v>185</v>
      </c>
      <c r="H16" s="4" t="s">
        <v>186</v>
      </c>
      <c r="I16" s="4" t="s">
        <v>187</v>
      </c>
    </row>
    <row r="17" spans="1:9" x14ac:dyDescent="0.2">
      <c r="A17" t="s">
        <v>188</v>
      </c>
      <c r="B17">
        <v>7.8862279076680553</v>
      </c>
      <c r="C17">
        <v>9.3016817489487291</v>
      </c>
      <c r="D17">
        <v>0.84782817994814241</v>
      </c>
      <c r="E17">
        <v>0.4185097064839608</v>
      </c>
      <c r="F17">
        <v>-13.15563808678565</v>
      </c>
      <c r="G17">
        <v>28.928093902121759</v>
      </c>
      <c r="H17">
        <v>-13.15563808678565</v>
      </c>
      <c r="I17">
        <v>28.928093902121759</v>
      </c>
    </row>
    <row r="18" spans="1:9" x14ac:dyDescent="0.2">
      <c r="A18" t="s">
        <v>5</v>
      </c>
      <c r="B18">
        <v>-1.154320356372069</v>
      </c>
      <c r="C18">
        <v>1.162637032527593</v>
      </c>
      <c r="D18">
        <v>-0.99284671318490225</v>
      </c>
      <c r="E18">
        <v>0.34672620184823638</v>
      </c>
      <c r="F18">
        <v>-3.7843880472388141</v>
      </c>
      <c r="G18">
        <v>1.475747334494675</v>
      </c>
      <c r="H18">
        <v>-3.7843880472388141</v>
      </c>
      <c r="I18">
        <v>1.475747334494675</v>
      </c>
    </row>
    <row r="19" spans="1:9" x14ac:dyDescent="0.2">
      <c r="A19" t="s">
        <v>7</v>
      </c>
      <c r="B19">
        <v>1.603405275263283</v>
      </c>
      <c r="C19">
        <v>3.7594008737213431</v>
      </c>
      <c r="D19">
        <v>0.42650553349372128</v>
      </c>
      <c r="E19">
        <v>0.6797596766102374</v>
      </c>
      <c r="F19">
        <v>-6.9009503390552842</v>
      </c>
      <c r="G19">
        <v>10.107760889581851</v>
      </c>
      <c r="H19">
        <v>-6.9009503390552842</v>
      </c>
      <c r="I19">
        <v>10.107760889581851</v>
      </c>
    </row>
    <row r="20" spans="1:9" ht="16" customHeight="1" thickBot="1" x14ac:dyDescent="0.25">
      <c r="A20" s="3" t="s">
        <v>9</v>
      </c>
      <c r="B20" s="3">
        <v>-0.9726006944070823</v>
      </c>
      <c r="C20" s="3">
        <v>2.2724619014748151</v>
      </c>
      <c r="D20" s="3">
        <v>-0.42799427958544428</v>
      </c>
      <c r="E20" s="3">
        <v>0.67871466958390736</v>
      </c>
      <c r="F20" s="3">
        <v>-6.1132666620143654</v>
      </c>
      <c r="G20" s="3">
        <v>4.1680652732002006</v>
      </c>
      <c r="H20" s="3">
        <v>-6.1132666620143654</v>
      </c>
      <c r="I20" s="3">
        <v>4.1680652732002006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0"/>
  <sheetViews>
    <sheetView workbookViewId="0">
      <selection activeCell="D28" sqref="D28"/>
    </sheetView>
  </sheetViews>
  <sheetFormatPr baseColWidth="10" defaultRowHeight="15" x14ac:dyDescent="0.2"/>
  <sheetData>
    <row r="1" spans="1:9" x14ac:dyDescent="0.2">
      <c r="A1" t="s">
        <v>165</v>
      </c>
    </row>
    <row r="2" spans="1:9" ht="16" customHeight="1" thickBot="1" x14ac:dyDescent="0.25"/>
    <row r="3" spans="1:9" x14ac:dyDescent="0.2">
      <c r="A3" s="5" t="s">
        <v>166</v>
      </c>
      <c r="B3" s="5"/>
    </row>
    <row r="4" spans="1:9" x14ac:dyDescent="0.2">
      <c r="A4" t="s">
        <v>167</v>
      </c>
      <c r="B4">
        <v>0.70756098515082799</v>
      </c>
    </row>
    <row r="5" spans="1:9" x14ac:dyDescent="0.2">
      <c r="A5" t="s">
        <v>168</v>
      </c>
      <c r="B5">
        <v>0.5006425477076103</v>
      </c>
    </row>
    <row r="6" spans="1:9" x14ac:dyDescent="0.2">
      <c r="A6" t="s">
        <v>169</v>
      </c>
      <c r="B6">
        <v>0.3758031846345129</v>
      </c>
    </row>
    <row r="7" spans="1:9" x14ac:dyDescent="0.2">
      <c r="A7" t="s">
        <v>170</v>
      </c>
      <c r="B7">
        <v>7.5033817811576311</v>
      </c>
    </row>
    <row r="8" spans="1:9" ht="16" customHeight="1" thickBot="1" x14ac:dyDescent="0.25">
      <c r="A8" s="3" t="s">
        <v>171</v>
      </c>
      <c r="B8" s="3">
        <v>16</v>
      </c>
    </row>
    <row r="10" spans="1:9" ht="16" customHeight="1" thickBot="1" x14ac:dyDescent="0.25">
      <c r="A10" t="s">
        <v>172</v>
      </c>
    </row>
    <row r="11" spans="1:9" x14ac:dyDescent="0.2">
      <c r="A11" s="4"/>
      <c r="B11" s="4" t="s">
        <v>173</v>
      </c>
      <c r="C11" s="4" t="s">
        <v>174</v>
      </c>
      <c r="D11" s="4" t="s">
        <v>175</v>
      </c>
      <c r="E11" s="4" t="s">
        <v>176</v>
      </c>
      <c r="F11" s="4" t="s">
        <v>177</v>
      </c>
    </row>
    <row r="12" spans="1:9" x14ac:dyDescent="0.2">
      <c r="A12" t="s">
        <v>178</v>
      </c>
      <c r="B12">
        <v>3</v>
      </c>
      <c r="C12">
        <v>677.3475359043008</v>
      </c>
      <c r="D12">
        <v>225.78251196810029</v>
      </c>
      <c r="E12">
        <v>4.0102939920837972</v>
      </c>
      <c r="F12">
        <v>3.4341247116800151E-2</v>
      </c>
    </row>
    <row r="13" spans="1:9" x14ac:dyDescent="0.2">
      <c r="A13" t="s">
        <v>179</v>
      </c>
      <c r="B13">
        <v>12</v>
      </c>
      <c r="C13">
        <v>675.60885784569916</v>
      </c>
      <c r="D13">
        <v>56.300738153808261</v>
      </c>
    </row>
    <row r="14" spans="1:9" ht="16" customHeight="1" thickBot="1" x14ac:dyDescent="0.25">
      <c r="A14" s="3" t="s">
        <v>180</v>
      </c>
      <c r="B14" s="3">
        <v>15</v>
      </c>
      <c r="C14" s="3">
        <v>1352.95639375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181</v>
      </c>
      <c r="C16" s="4" t="s">
        <v>170</v>
      </c>
      <c r="D16" s="4" t="s">
        <v>182</v>
      </c>
      <c r="E16" s="4" t="s">
        <v>183</v>
      </c>
      <c r="F16" s="4" t="s">
        <v>184</v>
      </c>
      <c r="G16" s="4" t="s">
        <v>185</v>
      </c>
      <c r="H16" s="4" t="s">
        <v>186</v>
      </c>
      <c r="I16" s="4" t="s">
        <v>187</v>
      </c>
    </row>
    <row r="17" spans="1:9" x14ac:dyDescent="0.2">
      <c r="A17" t="s">
        <v>188</v>
      </c>
      <c r="B17">
        <v>-6.1146654210504821</v>
      </c>
      <c r="C17">
        <v>8.1401710482004663</v>
      </c>
      <c r="D17">
        <v>-0.75117161357466078</v>
      </c>
      <c r="E17">
        <v>0.46702563997897029</v>
      </c>
      <c r="F17">
        <v>-23.850574536555389</v>
      </c>
      <c r="G17">
        <v>11.621243694454421</v>
      </c>
      <c r="H17">
        <v>-23.850574536555389</v>
      </c>
      <c r="I17">
        <v>11.621243694454421</v>
      </c>
    </row>
    <row r="18" spans="1:9" x14ac:dyDescent="0.2">
      <c r="A18" t="s">
        <v>5</v>
      </c>
      <c r="B18">
        <v>15.660456094136469</v>
      </c>
      <c r="C18">
        <v>13.47550503313988</v>
      </c>
      <c r="D18">
        <v>1.162142424764282</v>
      </c>
      <c r="E18">
        <v>0.26777027569779421</v>
      </c>
      <c r="F18">
        <v>-13.70014715831401</v>
      </c>
      <c r="G18">
        <v>45.021059346586938</v>
      </c>
      <c r="H18">
        <v>-13.70014715831401</v>
      </c>
      <c r="I18">
        <v>45.021059346586938</v>
      </c>
    </row>
    <row r="19" spans="1:9" x14ac:dyDescent="0.2">
      <c r="A19" t="s">
        <v>7</v>
      </c>
      <c r="B19">
        <v>10.692011305247449</v>
      </c>
      <c r="C19">
        <v>12.252851286955259</v>
      </c>
      <c r="D19">
        <v>0.8726141413819718</v>
      </c>
      <c r="E19">
        <v>0.39999745929873171</v>
      </c>
      <c r="F19">
        <v>-16.004658278775281</v>
      </c>
      <c r="G19">
        <v>37.388680889270191</v>
      </c>
      <c r="H19">
        <v>-16.004658278775281</v>
      </c>
      <c r="I19">
        <v>37.388680889270191</v>
      </c>
    </row>
    <row r="20" spans="1:9" ht="16" customHeight="1" thickBot="1" x14ac:dyDescent="0.25">
      <c r="A20" s="3" t="s">
        <v>9</v>
      </c>
      <c r="B20" s="3">
        <v>-19.22850811845608</v>
      </c>
      <c r="C20" s="3">
        <v>7.4111112243807789</v>
      </c>
      <c r="D20" s="3">
        <v>-2.5945512806768982</v>
      </c>
      <c r="E20" s="3">
        <v>2.346032649084822E-2</v>
      </c>
      <c r="F20" s="3">
        <v>-35.37593233622772</v>
      </c>
      <c r="G20" s="3">
        <v>-3.0810839006844368</v>
      </c>
      <c r="H20" s="3">
        <v>-35.37593233622772</v>
      </c>
      <c r="I20" s="3">
        <v>-3.0810839006844368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17"/>
  <sheetViews>
    <sheetView workbookViewId="0"/>
  </sheetViews>
  <sheetFormatPr baseColWidth="10" defaultColWidth="8.83203125" defaultRowHeight="15" x14ac:dyDescent="0.2"/>
  <cols>
    <col min="5" max="5" width="25.5" customWidth="1"/>
    <col min="14" max="14" width="16.6640625" customWidth="1"/>
    <col min="17" max="17" width="10.1640625" customWidth="1"/>
    <col min="18" max="18" width="10.33203125" customWidth="1"/>
    <col min="19" max="19" width="10.5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/>
      <c r="U1" s="1"/>
      <c r="V1" s="1"/>
      <c r="W1" s="1"/>
      <c r="X1" s="1"/>
      <c r="Y1" s="2"/>
      <c r="Z1" s="2"/>
    </row>
    <row r="2" spans="1:26" x14ac:dyDescent="0.2">
      <c r="A2" s="2">
        <v>1</v>
      </c>
      <c r="B2" s="2">
        <v>260527</v>
      </c>
      <c r="C2" s="2" t="s">
        <v>19</v>
      </c>
      <c r="D2" s="2" t="s">
        <v>20</v>
      </c>
      <c r="E2" s="2" t="s">
        <v>21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e">
        <f t="shared" ref="Q2:Q33" si="0">((F2- 0.00793) / 0.1333)^(1/0.6199)</f>
        <v>#NUM!</v>
      </c>
      <c r="R2" s="2" t="e">
        <f t="shared" ref="R2:R33" si="1">((H2- 0.0166) / 0.0825)^(1/0.6529)</f>
        <v>#NUM!</v>
      </c>
      <c r="S2" s="2" t="e">
        <f t="shared" ref="S2:S33" si="2">((J2- 0.06053) / 0.0561)^(1/0.507)</f>
        <v>#NUM!</v>
      </c>
      <c r="T2" s="2"/>
      <c r="U2" s="2"/>
      <c r="V2" s="2"/>
      <c r="W2" s="2"/>
      <c r="X2" s="2"/>
      <c r="Y2" s="2"/>
      <c r="Z2" s="2"/>
    </row>
    <row r="3" spans="1:26" x14ac:dyDescent="0.2">
      <c r="A3" s="2">
        <v>1</v>
      </c>
      <c r="B3" s="2">
        <v>260527</v>
      </c>
      <c r="C3" s="2" t="s">
        <v>22</v>
      </c>
      <c r="D3" s="2" t="s">
        <v>20</v>
      </c>
      <c r="E3" s="2" t="s">
        <v>23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 t="e">
        <f t="shared" si="0"/>
        <v>#NUM!</v>
      </c>
      <c r="R3" s="2" t="e">
        <f t="shared" si="1"/>
        <v>#NUM!</v>
      </c>
      <c r="S3" s="2" t="e">
        <f t="shared" si="2"/>
        <v>#NUM!</v>
      </c>
      <c r="T3" s="2"/>
      <c r="U3" s="2"/>
      <c r="V3" s="2"/>
      <c r="W3" s="2"/>
      <c r="X3" s="2"/>
      <c r="Y3" s="2"/>
      <c r="Z3" s="2"/>
    </row>
    <row r="4" spans="1:26" x14ac:dyDescent="0.2">
      <c r="A4" s="2">
        <v>1</v>
      </c>
      <c r="B4" s="2">
        <v>260527</v>
      </c>
      <c r="C4" s="2" t="s">
        <v>24</v>
      </c>
      <c r="D4" s="2" t="s">
        <v>20</v>
      </c>
      <c r="E4" s="2" t="s">
        <v>25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 t="e">
        <f t="shared" si="0"/>
        <v>#NUM!</v>
      </c>
      <c r="R4" s="2" t="e">
        <f t="shared" si="1"/>
        <v>#NUM!</v>
      </c>
      <c r="S4" s="2" t="e">
        <f t="shared" si="2"/>
        <v>#NUM!</v>
      </c>
      <c r="T4" s="2"/>
      <c r="U4" s="2"/>
      <c r="V4" s="2"/>
      <c r="W4" s="2"/>
      <c r="X4" s="2"/>
      <c r="Y4" s="2"/>
      <c r="Z4" s="2"/>
    </row>
    <row r="5" spans="1:26" x14ac:dyDescent="0.2">
      <c r="A5" s="2">
        <v>1</v>
      </c>
      <c r="B5" s="2">
        <v>260527</v>
      </c>
      <c r="C5" s="2" t="s">
        <v>26</v>
      </c>
      <c r="D5" s="2" t="s">
        <v>20</v>
      </c>
      <c r="E5" s="2" t="s">
        <v>27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 t="e">
        <f t="shared" si="0"/>
        <v>#NUM!</v>
      </c>
      <c r="R5" s="2" t="e">
        <f t="shared" si="1"/>
        <v>#NUM!</v>
      </c>
      <c r="S5" s="2" t="e">
        <f t="shared" si="2"/>
        <v>#NUM!</v>
      </c>
      <c r="T5" s="2"/>
      <c r="U5" s="2"/>
      <c r="V5" s="2"/>
      <c r="W5" s="2"/>
      <c r="X5" s="2"/>
      <c r="Y5" s="2"/>
      <c r="Z5" s="2"/>
    </row>
    <row r="6" spans="1:26" x14ac:dyDescent="0.2">
      <c r="A6" s="2">
        <v>1</v>
      </c>
      <c r="B6" s="2">
        <v>260527</v>
      </c>
      <c r="C6" s="2" t="s">
        <v>28</v>
      </c>
      <c r="D6" s="2" t="s">
        <v>20</v>
      </c>
      <c r="E6" s="2" t="s">
        <v>29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 t="e">
        <f t="shared" si="0"/>
        <v>#NUM!</v>
      </c>
      <c r="R6" s="2" t="e">
        <f t="shared" si="1"/>
        <v>#NUM!</v>
      </c>
      <c r="S6" s="2" t="e">
        <f t="shared" si="2"/>
        <v>#NUM!</v>
      </c>
      <c r="T6" s="2"/>
      <c r="U6" s="2"/>
      <c r="V6" s="2"/>
      <c r="W6" s="2"/>
      <c r="X6" s="2"/>
      <c r="Y6" s="2"/>
      <c r="Z6" s="2"/>
    </row>
    <row r="7" spans="1:26" x14ac:dyDescent="0.2">
      <c r="A7" s="2">
        <v>1</v>
      </c>
      <c r="B7" s="2">
        <v>260527</v>
      </c>
      <c r="C7" s="2" t="s">
        <v>30</v>
      </c>
      <c r="D7" s="2" t="s">
        <v>20</v>
      </c>
      <c r="E7" s="2" t="s">
        <v>31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 t="e">
        <f t="shared" si="0"/>
        <v>#NUM!</v>
      </c>
      <c r="R7" s="2" t="e">
        <f t="shared" si="1"/>
        <v>#NUM!</v>
      </c>
      <c r="S7" s="2" t="e">
        <f t="shared" si="2"/>
        <v>#NUM!</v>
      </c>
      <c r="T7" s="2"/>
      <c r="U7" s="2"/>
      <c r="V7" s="2"/>
      <c r="W7" s="2"/>
      <c r="X7" s="2"/>
      <c r="Y7" s="2"/>
      <c r="Z7" s="2"/>
    </row>
    <row r="8" spans="1:26" x14ac:dyDescent="0.2">
      <c r="A8" s="2">
        <v>1</v>
      </c>
      <c r="B8" s="2">
        <v>260527</v>
      </c>
      <c r="C8" s="2" t="s">
        <v>32</v>
      </c>
      <c r="D8" s="2" t="s">
        <v>20</v>
      </c>
      <c r="E8" s="2" t="s">
        <v>33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 t="e">
        <f t="shared" si="0"/>
        <v>#NUM!</v>
      </c>
      <c r="R8" s="2" t="e">
        <f t="shared" si="1"/>
        <v>#NUM!</v>
      </c>
      <c r="S8" s="2" t="e">
        <f t="shared" si="2"/>
        <v>#NUM!</v>
      </c>
      <c r="T8" s="2"/>
      <c r="U8" s="2"/>
      <c r="V8" s="2"/>
      <c r="W8" s="2"/>
      <c r="X8" s="2"/>
      <c r="Y8" s="2"/>
      <c r="Z8" s="2"/>
    </row>
    <row r="9" spans="1:26" x14ac:dyDescent="0.2">
      <c r="A9" s="2">
        <v>1</v>
      </c>
      <c r="B9" s="2">
        <v>260527</v>
      </c>
      <c r="C9" s="2" t="s">
        <v>34</v>
      </c>
      <c r="D9" s="2" t="s">
        <v>20</v>
      </c>
      <c r="E9" s="2" t="s">
        <v>35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 t="e">
        <f t="shared" si="0"/>
        <v>#NUM!</v>
      </c>
      <c r="R9" s="2" t="e">
        <f t="shared" si="1"/>
        <v>#NUM!</v>
      </c>
      <c r="S9" s="2" t="e">
        <f t="shared" si="2"/>
        <v>#NUM!</v>
      </c>
      <c r="T9" s="2"/>
      <c r="U9" s="2"/>
      <c r="V9" s="2"/>
      <c r="W9" s="2"/>
      <c r="X9" s="2"/>
      <c r="Y9" s="2"/>
      <c r="Z9" s="2"/>
    </row>
    <row r="10" spans="1:26" x14ac:dyDescent="0.2">
      <c r="A10" s="2">
        <v>1</v>
      </c>
      <c r="B10" s="2">
        <v>260527</v>
      </c>
      <c r="C10" s="2" t="s">
        <v>36</v>
      </c>
      <c r="D10" s="2" t="s">
        <v>20</v>
      </c>
      <c r="E10" s="2" t="s">
        <v>37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 t="e">
        <f t="shared" si="0"/>
        <v>#NUM!</v>
      </c>
      <c r="R10" s="2" t="e">
        <f t="shared" si="1"/>
        <v>#NUM!</v>
      </c>
      <c r="S10" s="2" t="e">
        <f t="shared" si="2"/>
        <v>#NUM!</v>
      </c>
      <c r="T10" s="2"/>
      <c r="U10" s="2"/>
      <c r="V10" s="2"/>
      <c r="W10" s="2"/>
      <c r="X10" s="2"/>
      <c r="Y10" s="2"/>
      <c r="Z10" s="2"/>
    </row>
    <row r="11" spans="1:26" x14ac:dyDescent="0.2">
      <c r="A11" s="2">
        <v>2</v>
      </c>
      <c r="B11" s="2">
        <v>260603</v>
      </c>
      <c r="C11" s="2" t="s">
        <v>36</v>
      </c>
      <c r="D11" s="2" t="s">
        <v>20</v>
      </c>
      <c r="E11" s="2" t="s">
        <v>38</v>
      </c>
      <c r="F11" s="2"/>
      <c r="G11" s="2"/>
      <c r="H11" s="2"/>
      <c r="I11" s="2"/>
      <c r="J11" s="2"/>
      <c r="K11" s="2"/>
      <c r="L11" s="2"/>
      <c r="M11" s="2"/>
      <c r="N11" s="2">
        <v>11.7</v>
      </c>
      <c r="O11" s="2"/>
      <c r="P11" s="2"/>
      <c r="Q11" s="2" t="e">
        <f t="shared" si="0"/>
        <v>#NUM!</v>
      </c>
      <c r="R11" s="2" t="e">
        <f t="shared" si="1"/>
        <v>#NUM!</v>
      </c>
      <c r="S11" s="2" t="e">
        <f t="shared" si="2"/>
        <v>#NUM!</v>
      </c>
      <c r="T11" s="2"/>
      <c r="U11" s="2"/>
      <c r="V11" s="2"/>
      <c r="W11" s="2"/>
      <c r="X11" s="2"/>
      <c r="Y11" s="2"/>
      <c r="Z11" s="2"/>
    </row>
    <row r="12" spans="1:26" x14ac:dyDescent="0.2">
      <c r="A12" s="2">
        <v>2</v>
      </c>
      <c r="B12" s="2">
        <v>260603</v>
      </c>
      <c r="C12" s="2" t="s">
        <v>19</v>
      </c>
      <c r="D12" s="2" t="s">
        <v>20</v>
      </c>
      <c r="E12" s="2" t="s">
        <v>39</v>
      </c>
      <c r="F12" s="2"/>
      <c r="G12" s="2"/>
      <c r="H12" s="2"/>
      <c r="I12" s="2"/>
      <c r="J12" s="2"/>
      <c r="K12" s="2"/>
      <c r="L12" s="2"/>
      <c r="M12" s="2"/>
      <c r="N12" s="2">
        <v>4.2</v>
      </c>
      <c r="O12" s="2"/>
      <c r="P12" s="2"/>
      <c r="Q12" s="2" t="e">
        <f t="shared" si="0"/>
        <v>#NUM!</v>
      </c>
      <c r="R12" s="2" t="e">
        <f t="shared" si="1"/>
        <v>#NUM!</v>
      </c>
      <c r="S12" s="2" t="e">
        <f t="shared" si="2"/>
        <v>#NUM!</v>
      </c>
      <c r="T12" s="2"/>
      <c r="U12" s="2"/>
      <c r="V12" s="2"/>
      <c r="W12" s="2"/>
      <c r="X12" s="2"/>
      <c r="Y12" s="2"/>
      <c r="Z12" s="2"/>
    </row>
    <row r="13" spans="1:26" x14ac:dyDescent="0.2">
      <c r="A13" s="2">
        <v>2</v>
      </c>
      <c r="B13" s="2">
        <v>260603</v>
      </c>
      <c r="C13" s="2" t="s">
        <v>22</v>
      </c>
      <c r="D13" s="2" t="s">
        <v>20</v>
      </c>
      <c r="E13" s="2" t="s">
        <v>40</v>
      </c>
      <c r="F13" s="2"/>
      <c r="G13" s="2"/>
      <c r="H13" s="2"/>
      <c r="I13" s="2"/>
      <c r="J13" s="2"/>
      <c r="K13" s="2"/>
      <c r="L13" s="2"/>
      <c r="M13" s="2"/>
      <c r="N13" s="2">
        <v>3.4</v>
      </c>
      <c r="O13" s="2"/>
      <c r="P13" s="2"/>
      <c r="Q13" s="2" t="e">
        <f t="shared" si="0"/>
        <v>#NUM!</v>
      </c>
      <c r="R13" s="2" t="e">
        <f t="shared" si="1"/>
        <v>#NUM!</v>
      </c>
      <c r="S13" s="2" t="e">
        <f t="shared" si="2"/>
        <v>#NUM!</v>
      </c>
      <c r="T13" s="2"/>
      <c r="U13" s="2"/>
      <c r="V13" s="2"/>
      <c r="W13" s="2"/>
      <c r="X13" s="2"/>
      <c r="Y13" s="2"/>
      <c r="Z13" s="2"/>
    </row>
    <row r="14" spans="1:26" x14ac:dyDescent="0.2">
      <c r="A14" s="2">
        <v>2</v>
      </c>
      <c r="B14" s="2">
        <v>260603</v>
      </c>
      <c r="C14" s="2" t="s">
        <v>24</v>
      </c>
      <c r="D14" s="2" t="s">
        <v>20</v>
      </c>
      <c r="E14" s="2" t="s">
        <v>41</v>
      </c>
      <c r="F14" s="2"/>
      <c r="G14" s="2"/>
      <c r="H14" s="2"/>
      <c r="I14" s="2"/>
      <c r="J14" s="2"/>
      <c r="K14" s="2"/>
      <c r="L14" s="2"/>
      <c r="M14" s="2"/>
      <c r="N14" s="2">
        <v>2.4</v>
      </c>
      <c r="O14" s="2"/>
      <c r="P14" s="2"/>
      <c r="Q14" s="2" t="e">
        <f t="shared" si="0"/>
        <v>#NUM!</v>
      </c>
      <c r="R14" s="2" t="e">
        <f t="shared" si="1"/>
        <v>#NUM!</v>
      </c>
      <c r="S14" s="2" t="e">
        <f t="shared" si="2"/>
        <v>#NUM!</v>
      </c>
      <c r="T14" s="2"/>
      <c r="U14" s="2"/>
      <c r="V14" s="2"/>
      <c r="W14" s="2"/>
      <c r="X14" s="2"/>
      <c r="Y14" s="2"/>
      <c r="Z14" s="2"/>
    </row>
    <row r="15" spans="1:26" x14ac:dyDescent="0.2">
      <c r="A15" s="2">
        <v>2</v>
      </c>
      <c r="B15" s="2">
        <v>260603</v>
      </c>
      <c r="C15" s="2" t="s">
        <v>26</v>
      </c>
      <c r="D15" s="2" t="s">
        <v>20</v>
      </c>
      <c r="E15" s="2" t="s">
        <v>42</v>
      </c>
      <c r="F15" s="2"/>
      <c r="G15" s="2"/>
      <c r="H15" s="2"/>
      <c r="I15" s="2"/>
      <c r="J15" s="2"/>
      <c r="K15" s="2"/>
      <c r="L15" s="2"/>
      <c r="M15" s="2"/>
      <c r="N15" s="2">
        <v>3.600000000000001</v>
      </c>
      <c r="O15" s="2"/>
      <c r="P15" s="2"/>
      <c r="Q15" s="2" t="e">
        <f t="shared" si="0"/>
        <v>#NUM!</v>
      </c>
      <c r="R15" s="2" t="e">
        <f t="shared" si="1"/>
        <v>#NUM!</v>
      </c>
      <c r="S15" s="2" t="e">
        <f t="shared" si="2"/>
        <v>#NUM!</v>
      </c>
      <c r="T15" s="2"/>
      <c r="U15" s="2"/>
      <c r="V15" s="2"/>
      <c r="W15" s="2"/>
      <c r="X15" s="2"/>
      <c r="Y15" s="2"/>
      <c r="Z15" s="2"/>
    </row>
    <row r="16" spans="1:26" x14ac:dyDescent="0.2">
      <c r="A16" s="2">
        <v>2</v>
      </c>
      <c r="B16" s="2">
        <v>260603</v>
      </c>
      <c r="C16" s="2" t="s">
        <v>43</v>
      </c>
      <c r="D16" s="2" t="s">
        <v>20</v>
      </c>
      <c r="E16" s="2" t="s">
        <v>44</v>
      </c>
      <c r="F16" s="2"/>
      <c r="G16" s="2"/>
      <c r="H16" s="2"/>
      <c r="I16" s="2"/>
      <c r="J16" s="2"/>
      <c r="K16" s="2"/>
      <c r="L16" s="2"/>
      <c r="M16" s="2"/>
      <c r="N16" s="2">
        <v>2.8</v>
      </c>
      <c r="O16" s="2"/>
      <c r="P16" s="2"/>
      <c r="Q16" s="2" t="e">
        <f t="shared" si="0"/>
        <v>#NUM!</v>
      </c>
      <c r="R16" s="2" t="e">
        <f t="shared" si="1"/>
        <v>#NUM!</v>
      </c>
      <c r="S16" s="2" t="e">
        <f t="shared" si="2"/>
        <v>#NUM!</v>
      </c>
      <c r="T16" s="2"/>
      <c r="U16" s="2"/>
      <c r="V16" s="2"/>
      <c r="W16" s="2"/>
      <c r="X16" s="2"/>
      <c r="Y16" s="2"/>
      <c r="Z16" s="2"/>
    </row>
    <row r="17" spans="1:26" x14ac:dyDescent="0.2">
      <c r="A17" s="2">
        <v>3</v>
      </c>
      <c r="B17" s="2">
        <v>260610</v>
      </c>
      <c r="C17" s="2" t="s">
        <v>45</v>
      </c>
      <c r="D17" s="2" t="s">
        <v>20</v>
      </c>
      <c r="E17" s="2" t="s">
        <v>46</v>
      </c>
      <c r="F17" s="2"/>
      <c r="G17" s="2"/>
      <c r="H17" s="2"/>
      <c r="I17" s="2"/>
      <c r="J17" s="2"/>
      <c r="K17" s="2"/>
      <c r="L17" s="2"/>
      <c r="M17" s="2"/>
      <c r="N17" s="2">
        <v>7</v>
      </c>
      <c r="O17" s="2"/>
      <c r="P17" s="2"/>
      <c r="Q17" s="2" t="e">
        <f t="shared" si="0"/>
        <v>#NUM!</v>
      </c>
      <c r="R17" s="2" t="e">
        <f t="shared" si="1"/>
        <v>#NUM!</v>
      </c>
      <c r="S17" s="2" t="e">
        <f t="shared" si="2"/>
        <v>#NUM!</v>
      </c>
      <c r="T17" s="2"/>
      <c r="U17" s="2"/>
      <c r="V17" s="2"/>
      <c r="W17" s="2"/>
      <c r="X17" s="2"/>
      <c r="Y17" s="2"/>
      <c r="Z17" s="2"/>
    </row>
    <row r="18" spans="1:26" x14ac:dyDescent="0.2">
      <c r="A18" s="2">
        <v>3</v>
      </c>
      <c r="B18" s="2">
        <v>260610</v>
      </c>
      <c r="C18" s="2" t="s">
        <v>47</v>
      </c>
      <c r="D18" s="2" t="s">
        <v>20</v>
      </c>
      <c r="E18" s="2" t="s">
        <v>48</v>
      </c>
      <c r="F18" s="2"/>
      <c r="G18" s="2"/>
      <c r="H18" s="2"/>
      <c r="I18" s="2"/>
      <c r="J18" s="2"/>
      <c r="K18" s="2"/>
      <c r="L18" s="2"/>
      <c r="M18" s="2"/>
      <c r="N18" s="2">
        <v>8.6000000000000014</v>
      </c>
      <c r="O18" s="2"/>
      <c r="P18" s="2"/>
      <c r="Q18" s="2" t="e">
        <f t="shared" si="0"/>
        <v>#NUM!</v>
      </c>
      <c r="R18" s="2" t="e">
        <f t="shared" si="1"/>
        <v>#NUM!</v>
      </c>
      <c r="S18" s="2" t="e">
        <f t="shared" si="2"/>
        <v>#NUM!</v>
      </c>
      <c r="T18" s="2"/>
      <c r="U18" s="2"/>
      <c r="V18" s="2"/>
      <c r="W18" s="2"/>
      <c r="X18" s="2"/>
      <c r="Y18" s="2"/>
      <c r="Z18" s="2"/>
    </row>
    <row r="19" spans="1:26" x14ac:dyDescent="0.2">
      <c r="A19" s="2">
        <v>3</v>
      </c>
      <c r="B19" s="2">
        <v>260610</v>
      </c>
      <c r="C19" s="2" t="s">
        <v>49</v>
      </c>
      <c r="D19" s="2" t="s">
        <v>20</v>
      </c>
      <c r="E19" s="2" t="s">
        <v>50</v>
      </c>
      <c r="F19" s="2"/>
      <c r="G19" s="2"/>
      <c r="H19" s="2"/>
      <c r="I19" s="2"/>
      <c r="J19" s="2"/>
      <c r="K19" s="2"/>
      <c r="L19" s="2"/>
      <c r="M19" s="2"/>
      <c r="N19" s="2">
        <v>15.7</v>
      </c>
      <c r="O19" s="2"/>
      <c r="P19" s="2"/>
      <c r="Q19" s="2" t="e">
        <f t="shared" si="0"/>
        <v>#NUM!</v>
      </c>
      <c r="R19" s="2" t="e">
        <f t="shared" si="1"/>
        <v>#NUM!</v>
      </c>
      <c r="S19" s="2" t="e">
        <f t="shared" si="2"/>
        <v>#NUM!</v>
      </c>
      <c r="T19" s="2"/>
      <c r="U19" s="2"/>
      <c r="V19" s="2"/>
      <c r="W19" s="2"/>
      <c r="X19" s="2"/>
      <c r="Y19" s="2"/>
      <c r="Z19" s="2"/>
    </row>
    <row r="20" spans="1:26" x14ac:dyDescent="0.2">
      <c r="A20" s="2">
        <v>3</v>
      </c>
      <c r="B20" s="2">
        <v>260610</v>
      </c>
      <c r="C20" s="2" t="s">
        <v>51</v>
      </c>
      <c r="D20" s="2" t="s">
        <v>20</v>
      </c>
      <c r="E20" s="2" t="s">
        <v>52</v>
      </c>
      <c r="F20" s="2"/>
      <c r="G20" s="2"/>
      <c r="H20" s="2"/>
      <c r="I20" s="2"/>
      <c r="J20" s="2"/>
      <c r="K20" s="2"/>
      <c r="L20" s="2"/>
      <c r="M20" s="2"/>
      <c r="N20" s="2">
        <v>15.6</v>
      </c>
      <c r="O20" s="2"/>
      <c r="P20" s="2"/>
      <c r="Q20" s="2" t="e">
        <f t="shared" si="0"/>
        <v>#NUM!</v>
      </c>
      <c r="R20" s="2" t="e">
        <f t="shared" si="1"/>
        <v>#NUM!</v>
      </c>
      <c r="S20" s="2" t="e">
        <f t="shared" si="2"/>
        <v>#NUM!</v>
      </c>
      <c r="T20" s="2"/>
      <c r="U20" s="2"/>
      <c r="V20" s="2"/>
      <c r="W20" s="2"/>
      <c r="X20" s="2"/>
      <c r="Y20" s="2"/>
      <c r="Z20" s="2"/>
    </row>
    <row r="21" spans="1:26" x14ac:dyDescent="0.2">
      <c r="A21" s="2">
        <v>3</v>
      </c>
      <c r="B21" s="2">
        <v>260610</v>
      </c>
      <c r="C21" s="2" t="s">
        <v>53</v>
      </c>
      <c r="D21" s="2" t="s">
        <v>20</v>
      </c>
      <c r="E21" s="2" t="s">
        <v>54</v>
      </c>
      <c r="F21" s="2"/>
      <c r="G21" s="2"/>
      <c r="H21" s="2"/>
      <c r="I21" s="2"/>
      <c r="J21" s="2"/>
      <c r="K21" s="2"/>
      <c r="L21" s="2"/>
      <c r="M21" s="2"/>
      <c r="N21" s="2">
        <v>9.1000000000000014</v>
      </c>
      <c r="O21" s="2"/>
      <c r="P21" s="2"/>
      <c r="Q21" s="2" t="e">
        <f t="shared" si="0"/>
        <v>#NUM!</v>
      </c>
      <c r="R21" s="2" t="e">
        <f t="shared" si="1"/>
        <v>#NUM!</v>
      </c>
      <c r="S21" s="2" t="e">
        <f t="shared" si="2"/>
        <v>#NUM!</v>
      </c>
      <c r="T21" s="2"/>
      <c r="U21" s="2"/>
      <c r="V21" s="2"/>
      <c r="W21" s="2"/>
      <c r="X21" s="2"/>
      <c r="Y21" s="2"/>
      <c r="Z21" s="2"/>
    </row>
    <row r="22" spans="1:26" x14ac:dyDescent="0.2">
      <c r="A22" s="2">
        <v>3</v>
      </c>
      <c r="B22" s="2">
        <v>260610</v>
      </c>
      <c r="C22" s="2" t="s">
        <v>32</v>
      </c>
      <c r="D22" s="2" t="s">
        <v>20</v>
      </c>
      <c r="E22" s="2" t="s">
        <v>55</v>
      </c>
      <c r="F22" s="2"/>
      <c r="G22" s="2"/>
      <c r="H22" s="2"/>
      <c r="I22" s="2"/>
      <c r="J22" s="2"/>
      <c r="K22" s="2"/>
      <c r="L22" s="2"/>
      <c r="M22" s="2"/>
      <c r="N22" s="2">
        <v>15</v>
      </c>
      <c r="O22" s="2"/>
      <c r="P22" s="2"/>
      <c r="Q22" s="2" t="e">
        <f t="shared" si="0"/>
        <v>#NUM!</v>
      </c>
      <c r="R22" s="2" t="e">
        <f t="shared" si="1"/>
        <v>#NUM!</v>
      </c>
      <c r="S22" s="2" t="e">
        <f t="shared" si="2"/>
        <v>#NUM!</v>
      </c>
      <c r="T22" s="2"/>
      <c r="U22" s="2"/>
      <c r="V22" s="2"/>
      <c r="W22" s="2"/>
      <c r="X22" s="2"/>
      <c r="Y22" s="2"/>
      <c r="Z22" s="2"/>
    </row>
    <row r="23" spans="1:26" x14ac:dyDescent="0.2">
      <c r="A23" s="2">
        <v>3</v>
      </c>
      <c r="B23" s="2">
        <v>260610</v>
      </c>
      <c r="C23" s="2" t="s">
        <v>34</v>
      </c>
      <c r="D23" s="2" t="s">
        <v>20</v>
      </c>
      <c r="E23" s="2" t="s">
        <v>56</v>
      </c>
      <c r="F23" s="2"/>
      <c r="G23" s="2"/>
      <c r="H23" s="2"/>
      <c r="I23" s="2"/>
      <c r="J23" s="2"/>
      <c r="K23" s="2"/>
      <c r="L23" s="2"/>
      <c r="M23" s="2"/>
      <c r="N23" s="2">
        <v>13.3</v>
      </c>
      <c r="O23" s="2"/>
      <c r="P23" s="2"/>
      <c r="Q23" s="2" t="e">
        <f t="shared" si="0"/>
        <v>#NUM!</v>
      </c>
      <c r="R23" s="2" t="e">
        <f t="shared" si="1"/>
        <v>#NUM!</v>
      </c>
      <c r="S23" s="2" t="e">
        <f t="shared" si="2"/>
        <v>#NUM!</v>
      </c>
      <c r="T23" s="2"/>
      <c r="U23" s="2"/>
      <c r="V23" s="2"/>
      <c r="W23" s="2"/>
      <c r="X23" s="2"/>
      <c r="Y23" s="2"/>
      <c r="Z23" s="2"/>
    </row>
    <row r="24" spans="1:26" x14ac:dyDescent="0.2">
      <c r="A24" s="2">
        <v>4</v>
      </c>
      <c r="B24" s="2">
        <v>260618</v>
      </c>
      <c r="C24" s="2" t="s">
        <v>57</v>
      </c>
      <c r="D24" s="2" t="s">
        <v>20</v>
      </c>
      <c r="E24" s="2" t="s">
        <v>58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 t="e">
        <f t="shared" si="0"/>
        <v>#NUM!</v>
      </c>
      <c r="R24" s="2" t="e">
        <f t="shared" si="1"/>
        <v>#NUM!</v>
      </c>
      <c r="S24" s="2" t="e">
        <f t="shared" si="2"/>
        <v>#NUM!</v>
      </c>
      <c r="T24" s="2"/>
      <c r="U24" s="2"/>
      <c r="V24" s="2"/>
      <c r="W24" s="2"/>
      <c r="X24" s="2"/>
      <c r="Y24" s="2"/>
      <c r="Z24" s="2"/>
    </row>
    <row r="25" spans="1:26" x14ac:dyDescent="0.2">
      <c r="A25" s="2">
        <v>4</v>
      </c>
      <c r="B25" s="2">
        <v>260618</v>
      </c>
      <c r="C25" s="2" t="s">
        <v>59</v>
      </c>
      <c r="D25" s="2" t="s">
        <v>60</v>
      </c>
      <c r="E25" s="2" t="s">
        <v>61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 t="e">
        <f t="shared" si="0"/>
        <v>#NUM!</v>
      </c>
      <c r="R25" s="2" t="e">
        <f t="shared" si="1"/>
        <v>#NUM!</v>
      </c>
      <c r="S25" s="2" t="e">
        <f t="shared" si="2"/>
        <v>#NUM!</v>
      </c>
      <c r="T25" s="2"/>
      <c r="U25" s="2"/>
      <c r="V25" s="2"/>
      <c r="W25" s="2"/>
      <c r="X25" s="2"/>
      <c r="Y25" s="2"/>
      <c r="Z25" s="2"/>
    </row>
    <row r="26" spans="1:26" x14ac:dyDescent="0.2">
      <c r="A26" s="2">
        <v>4</v>
      </c>
      <c r="B26" s="2">
        <v>260618</v>
      </c>
      <c r="C26" s="2" t="s">
        <v>62</v>
      </c>
      <c r="D26" s="2" t="s">
        <v>20</v>
      </c>
      <c r="E26" s="2" t="s">
        <v>63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 t="e">
        <f t="shared" si="0"/>
        <v>#NUM!</v>
      </c>
      <c r="R26" s="2" t="e">
        <f t="shared" si="1"/>
        <v>#NUM!</v>
      </c>
      <c r="S26" s="2" t="e">
        <f t="shared" si="2"/>
        <v>#NUM!</v>
      </c>
      <c r="T26" s="2"/>
      <c r="U26" s="2"/>
      <c r="V26" s="2"/>
      <c r="W26" s="2"/>
      <c r="X26" s="2"/>
      <c r="Y26" s="2"/>
      <c r="Z26" s="2"/>
    </row>
    <row r="27" spans="1:26" x14ac:dyDescent="0.2">
      <c r="A27" s="2">
        <v>4</v>
      </c>
      <c r="B27" s="2">
        <v>260618</v>
      </c>
      <c r="C27" s="2" t="s">
        <v>64</v>
      </c>
      <c r="D27" s="2" t="s">
        <v>60</v>
      </c>
      <c r="E27" s="2" t="s">
        <v>65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 t="e">
        <f t="shared" si="0"/>
        <v>#NUM!</v>
      </c>
      <c r="R27" s="2" t="e">
        <f t="shared" si="1"/>
        <v>#NUM!</v>
      </c>
      <c r="S27" s="2" t="e">
        <f t="shared" si="2"/>
        <v>#NUM!</v>
      </c>
      <c r="T27" s="2"/>
      <c r="U27" s="2"/>
      <c r="V27" s="2"/>
      <c r="W27" s="2"/>
      <c r="X27" s="2"/>
      <c r="Y27" s="2"/>
      <c r="Z27" s="2"/>
    </row>
    <row r="28" spans="1:26" x14ac:dyDescent="0.2">
      <c r="A28" s="2">
        <v>4</v>
      </c>
      <c r="B28" s="2">
        <v>260618</v>
      </c>
      <c r="C28" s="2" t="s">
        <v>66</v>
      </c>
      <c r="D28" s="2" t="s">
        <v>20</v>
      </c>
      <c r="E28" s="2" t="s">
        <v>67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 t="e">
        <f t="shared" si="0"/>
        <v>#NUM!</v>
      </c>
      <c r="R28" s="2" t="e">
        <f t="shared" si="1"/>
        <v>#NUM!</v>
      </c>
      <c r="S28" s="2" t="e">
        <f t="shared" si="2"/>
        <v>#NUM!</v>
      </c>
      <c r="T28" s="2"/>
      <c r="U28" s="2"/>
      <c r="V28" s="2"/>
      <c r="W28" s="2"/>
      <c r="X28" s="2"/>
      <c r="Y28" s="2"/>
      <c r="Z28" s="2"/>
    </row>
    <row r="29" spans="1:26" x14ac:dyDescent="0.2">
      <c r="A29" s="2">
        <v>4</v>
      </c>
      <c r="B29" s="2">
        <v>260618</v>
      </c>
      <c r="C29" s="2" t="s">
        <v>68</v>
      </c>
      <c r="D29" s="2" t="s">
        <v>60</v>
      </c>
      <c r="E29" s="2" t="s">
        <v>69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 t="e">
        <f t="shared" si="0"/>
        <v>#NUM!</v>
      </c>
      <c r="R29" s="2" t="e">
        <f t="shared" si="1"/>
        <v>#NUM!</v>
      </c>
      <c r="S29" s="2" t="e">
        <f t="shared" si="2"/>
        <v>#NUM!</v>
      </c>
      <c r="T29" s="2"/>
      <c r="U29" s="2"/>
      <c r="V29" s="2"/>
      <c r="W29" s="2"/>
      <c r="X29" s="2"/>
      <c r="Y29" s="2"/>
      <c r="Z29" s="2"/>
    </row>
    <row r="30" spans="1:26" x14ac:dyDescent="0.2">
      <c r="A30" s="2">
        <v>4</v>
      </c>
      <c r="B30" s="2">
        <v>260618</v>
      </c>
      <c r="C30" s="2" t="s">
        <v>70</v>
      </c>
      <c r="D30" s="2" t="s">
        <v>20</v>
      </c>
      <c r="E30" s="2" t="s">
        <v>71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 t="e">
        <f t="shared" si="0"/>
        <v>#NUM!</v>
      </c>
      <c r="R30" s="2" t="e">
        <f t="shared" si="1"/>
        <v>#NUM!</v>
      </c>
      <c r="S30" s="2" t="e">
        <f t="shared" si="2"/>
        <v>#NUM!</v>
      </c>
      <c r="T30" s="2"/>
      <c r="U30" s="2"/>
      <c r="V30" s="2"/>
      <c r="W30" s="2"/>
      <c r="X30" s="2"/>
      <c r="Y30" s="2"/>
      <c r="Z30" s="2"/>
    </row>
    <row r="31" spans="1:26" x14ac:dyDescent="0.2">
      <c r="A31" s="2">
        <v>4</v>
      </c>
      <c r="B31" s="2">
        <v>260618</v>
      </c>
      <c r="C31" s="2" t="s">
        <v>72</v>
      </c>
      <c r="D31" s="2" t="s">
        <v>60</v>
      </c>
      <c r="E31" s="2" t="s">
        <v>73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 t="e">
        <f t="shared" si="0"/>
        <v>#NUM!</v>
      </c>
      <c r="R31" s="2" t="e">
        <f t="shared" si="1"/>
        <v>#NUM!</v>
      </c>
      <c r="S31" s="2" t="e">
        <f t="shared" si="2"/>
        <v>#NUM!</v>
      </c>
      <c r="T31" s="2"/>
      <c r="U31" s="2"/>
      <c r="V31" s="2"/>
      <c r="W31" s="2"/>
      <c r="X31" s="2"/>
      <c r="Y31" s="2"/>
      <c r="Z31" s="2"/>
    </row>
    <row r="32" spans="1:26" x14ac:dyDescent="0.2">
      <c r="A32" s="2">
        <v>4</v>
      </c>
      <c r="B32" s="2">
        <v>260618</v>
      </c>
      <c r="C32" s="2" t="s">
        <v>28</v>
      </c>
      <c r="D32" s="2" t="s">
        <v>20</v>
      </c>
      <c r="E32" s="2" t="s">
        <v>74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 t="e">
        <f t="shared" si="0"/>
        <v>#NUM!</v>
      </c>
      <c r="R32" s="2" t="e">
        <f t="shared" si="1"/>
        <v>#NUM!</v>
      </c>
      <c r="S32" s="2" t="e">
        <f t="shared" si="2"/>
        <v>#NUM!</v>
      </c>
      <c r="T32" s="2"/>
      <c r="U32" s="2"/>
      <c r="V32" s="2"/>
      <c r="W32" s="2"/>
      <c r="X32" s="2"/>
      <c r="Y32" s="2"/>
      <c r="Z32" s="2"/>
    </row>
    <row r="33" spans="1:26" x14ac:dyDescent="0.2">
      <c r="A33" s="2">
        <v>4</v>
      </c>
      <c r="B33" s="2">
        <v>260618</v>
      </c>
      <c r="C33" s="2" t="s">
        <v>30</v>
      </c>
      <c r="D33" s="2" t="s">
        <v>60</v>
      </c>
      <c r="E33" s="2" t="s">
        <v>75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 t="e">
        <f t="shared" si="0"/>
        <v>#NUM!</v>
      </c>
      <c r="R33" s="2" t="e">
        <f t="shared" si="1"/>
        <v>#NUM!</v>
      </c>
      <c r="S33" s="2" t="e">
        <f t="shared" si="2"/>
        <v>#NUM!</v>
      </c>
      <c r="T33" s="2"/>
      <c r="U33" s="2"/>
      <c r="V33" s="2"/>
      <c r="W33" s="2"/>
      <c r="X33" s="2"/>
      <c r="Y33" s="2"/>
      <c r="Z33" s="2"/>
    </row>
    <row r="34" spans="1:26" x14ac:dyDescent="0.2">
      <c r="A34" s="2">
        <v>4</v>
      </c>
      <c r="B34" s="2">
        <v>260618</v>
      </c>
      <c r="C34" s="2" t="s">
        <v>76</v>
      </c>
      <c r="D34" s="2" t="s">
        <v>20</v>
      </c>
      <c r="E34" s="2" t="s">
        <v>77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 t="e">
        <f t="shared" ref="Q34:Q65" si="3">((F34- 0.00793) / 0.1333)^(1/0.6199)</f>
        <v>#NUM!</v>
      </c>
      <c r="R34" s="2" t="e">
        <f t="shared" ref="R34:R65" si="4">((H34- 0.0166) / 0.0825)^(1/0.6529)</f>
        <v>#NUM!</v>
      </c>
      <c r="S34" s="2" t="e">
        <f t="shared" ref="S34:S65" si="5">((J34- 0.06053) / 0.0561)^(1/0.507)</f>
        <v>#NUM!</v>
      </c>
      <c r="T34" s="2"/>
      <c r="U34" s="2"/>
      <c r="V34" s="2"/>
      <c r="W34" s="2"/>
      <c r="X34" s="2"/>
      <c r="Y34" s="2"/>
      <c r="Z34" s="2"/>
    </row>
    <row r="35" spans="1:26" x14ac:dyDescent="0.2">
      <c r="A35" s="2">
        <v>4</v>
      </c>
      <c r="B35" s="2">
        <v>260618</v>
      </c>
      <c r="C35" s="2" t="s">
        <v>78</v>
      </c>
      <c r="D35" s="2" t="s">
        <v>60</v>
      </c>
      <c r="E35" s="2" t="s">
        <v>79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 t="e">
        <f t="shared" si="3"/>
        <v>#NUM!</v>
      </c>
      <c r="R35" s="2" t="e">
        <f t="shared" si="4"/>
        <v>#NUM!</v>
      </c>
      <c r="S35" s="2" t="e">
        <f t="shared" si="5"/>
        <v>#NUM!</v>
      </c>
      <c r="T35" s="2"/>
      <c r="U35" s="2"/>
      <c r="V35" s="2"/>
      <c r="W35" s="2"/>
      <c r="X35" s="2"/>
      <c r="Y35" s="2"/>
      <c r="Z35" s="2"/>
    </row>
    <row r="36" spans="1:26" x14ac:dyDescent="0.2">
      <c r="A36" s="2">
        <v>5</v>
      </c>
      <c r="B36" s="2">
        <v>260625</v>
      </c>
      <c r="C36" s="2" t="s">
        <v>45</v>
      </c>
      <c r="D36" s="2" t="s">
        <v>60</v>
      </c>
      <c r="E36" s="2" t="s">
        <v>80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 t="e">
        <f t="shared" si="3"/>
        <v>#NUM!</v>
      </c>
      <c r="R36" s="2" t="e">
        <f t="shared" si="4"/>
        <v>#NUM!</v>
      </c>
      <c r="S36" s="2" t="e">
        <f t="shared" si="5"/>
        <v>#NUM!</v>
      </c>
      <c r="T36" s="2"/>
      <c r="U36" s="2"/>
      <c r="V36" s="2"/>
      <c r="W36" s="2"/>
      <c r="X36" s="2"/>
      <c r="Y36" s="2"/>
      <c r="Z36" s="2"/>
    </row>
    <row r="37" spans="1:26" x14ac:dyDescent="0.2">
      <c r="A37" s="2">
        <v>5</v>
      </c>
      <c r="B37" s="2">
        <v>260625</v>
      </c>
      <c r="C37" s="2" t="s">
        <v>47</v>
      </c>
      <c r="D37" s="2" t="s">
        <v>60</v>
      </c>
      <c r="E37" s="2" t="s">
        <v>81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 t="e">
        <f t="shared" si="3"/>
        <v>#NUM!</v>
      </c>
      <c r="R37" s="2" t="e">
        <f t="shared" si="4"/>
        <v>#NUM!</v>
      </c>
      <c r="S37" s="2" t="e">
        <f t="shared" si="5"/>
        <v>#NUM!</v>
      </c>
      <c r="T37" s="2"/>
      <c r="U37" s="2"/>
      <c r="V37" s="2"/>
      <c r="W37" s="2"/>
      <c r="X37" s="2"/>
      <c r="Y37" s="2"/>
      <c r="Z37" s="2"/>
    </row>
    <row r="38" spans="1:26" x14ac:dyDescent="0.2">
      <c r="A38" s="2">
        <v>5</v>
      </c>
      <c r="B38" s="2">
        <v>260625</v>
      </c>
      <c r="C38" s="2" t="s">
        <v>49</v>
      </c>
      <c r="D38" s="2" t="s">
        <v>60</v>
      </c>
      <c r="E38" s="2" t="s">
        <v>82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 t="e">
        <f t="shared" si="3"/>
        <v>#NUM!</v>
      </c>
      <c r="R38" s="2" t="e">
        <f t="shared" si="4"/>
        <v>#NUM!</v>
      </c>
      <c r="S38" s="2" t="e">
        <f t="shared" si="5"/>
        <v>#NUM!</v>
      </c>
      <c r="T38" s="2"/>
      <c r="U38" s="2"/>
      <c r="V38" s="2"/>
      <c r="W38" s="2"/>
      <c r="X38" s="2"/>
      <c r="Y38" s="2"/>
      <c r="Z38" s="2"/>
    </row>
    <row r="39" spans="1:26" x14ac:dyDescent="0.2">
      <c r="A39" s="2">
        <v>5</v>
      </c>
      <c r="B39" s="2">
        <v>260625</v>
      </c>
      <c r="C39" s="2" t="s">
        <v>51</v>
      </c>
      <c r="D39" s="2" t="s">
        <v>60</v>
      </c>
      <c r="E39" s="2" t="s">
        <v>83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 t="e">
        <f t="shared" si="3"/>
        <v>#NUM!</v>
      </c>
      <c r="R39" s="2" t="e">
        <f t="shared" si="4"/>
        <v>#NUM!</v>
      </c>
      <c r="S39" s="2" t="e">
        <f t="shared" si="5"/>
        <v>#NUM!</v>
      </c>
      <c r="T39" s="2"/>
      <c r="U39" s="2"/>
      <c r="V39" s="2"/>
      <c r="W39" s="2"/>
      <c r="X39" s="2"/>
      <c r="Y39" s="2"/>
      <c r="Z39" s="2"/>
    </row>
    <row r="40" spans="1:26" x14ac:dyDescent="0.2">
      <c r="A40" s="2">
        <v>5</v>
      </c>
      <c r="B40" s="2">
        <v>260625</v>
      </c>
      <c r="C40" s="2" t="s">
        <v>53</v>
      </c>
      <c r="D40" s="2" t="s">
        <v>60</v>
      </c>
      <c r="E40" s="2" t="s">
        <v>84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 t="e">
        <f t="shared" si="3"/>
        <v>#NUM!</v>
      </c>
      <c r="R40" s="2" t="e">
        <f t="shared" si="4"/>
        <v>#NUM!</v>
      </c>
      <c r="S40" s="2" t="e">
        <f t="shared" si="5"/>
        <v>#NUM!</v>
      </c>
      <c r="T40" s="2"/>
      <c r="U40" s="2"/>
      <c r="V40" s="2"/>
      <c r="W40" s="2"/>
      <c r="X40" s="2"/>
      <c r="Y40" s="2"/>
      <c r="Z40" s="2"/>
    </row>
    <row r="41" spans="1:26" x14ac:dyDescent="0.2">
      <c r="A41" s="2">
        <v>5</v>
      </c>
      <c r="B41" s="2">
        <v>260625</v>
      </c>
      <c r="C41" s="2" t="s">
        <v>85</v>
      </c>
      <c r="D41" s="2" t="s">
        <v>60</v>
      </c>
      <c r="E41" s="2" t="s">
        <v>86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 t="e">
        <f t="shared" si="3"/>
        <v>#NUM!</v>
      </c>
      <c r="R41" s="2" t="e">
        <f t="shared" si="4"/>
        <v>#NUM!</v>
      </c>
      <c r="S41" s="2" t="e">
        <f t="shared" si="5"/>
        <v>#NUM!</v>
      </c>
      <c r="T41" s="2"/>
      <c r="U41" s="2"/>
      <c r="V41" s="2"/>
      <c r="W41" s="2"/>
      <c r="X41" s="2"/>
      <c r="Y41" s="2"/>
      <c r="Z41" s="2"/>
    </row>
    <row r="42" spans="1:26" x14ac:dyDescent="0.2">
      <c r="A42" s="2">
        <v>5</v>
      </c>
      <c r="B42" s="2">
        <v>260625</v>
      </c>
      <c r="C42" s="2" t="s">
        <v>34</v>
      </c>
      <c r="D42" s="2" t="s">
        <v>60</v>
      </c>
      <c r="E42" s="2" t="s">
        <v>87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 t="e">
        <f t="shared" si="3"/>
        <v>#NUM!</v>
      </c>
      <c r="R42" s="2" t="e">
        <f t="shared" si="4"/>
        <v>#NUM!</v>
      </c>
      <c r="S42" s="2" t="e">
        <f t="shared" si="5"/>
        <v>#NUM!</v>
      </c>
      <c r="T42" s="2"/>
      <c r="U42" s="2"/>
      <c r="V42" s="2"/>
      <c r="W42" s="2"/>
      <c r="X42" s="2"/>
      <c r="Y42" s="2"/>
      <c r="Z42" s="2"/>
    </row>
    <row r="43" spans="1:26" x14ac:dyDescent="0.2">
      <c r="A43" s="2">
        <v>5</v>
      </c>
      <c r="B43" s="2">
        <v>260625</v>
      </c>
      <c r="C43" s="2" t="s">
        <v>32</v>
      </c>
      <c r="D43" s="2" t="s">
        <v>60</v>
      </c>
      <c r="E43" s="2" t="s">
        <v>88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 t="e">
        <f t="shared" si="3"/>
        <v>#NUM!</v>
      </c>
      <c r="R43" s="2" t="e">
        <f t="shared" si="4"/>
        <v>#NUM!</v>
      </c>
      <c r="S43" s="2" t="e">
        <f t="shared" si="5"/>
        <v>#NUM!</v>
      </c>
      <c r="T43" s="2"/>
      <c r="U43" s="2"/>
      <c r="V43" s="2"/>
      <c r="W43" s="2"/>
      <c r="X43" s="2"/>
      <c r="Y43" s="2"/>
      <c r="Z43" s="2"/>
    </row>
    <row r="44" spans="1:26" x14ac:dyDescent="0.2">
      <c r="A44" s="2">
        <v>6</v>
      </c>
      <c r="B44" s="2">
        <v>260702</v>
      </c>
      <c r="C44" s="2" t="s">
        <v>45</v>
      </c>
      <c r="D44" s="2" t="s">
        <v>60</v>
      </c>
      <c r="E44" s="2" t="s">
        <v>89</v>
      </c>
      <c r="F44" s="2"/>
      <c r="G44" s="2"/>
      <c r="H44" s="2"/>
      <c r="I44" s="2"/>
      <c r="J44" s="2"/>
      <c r="K44" s="2"/>
      <c r="L44" s="2"/>
      <c r="M44" s="2"/>
      <c r="N44" s="2">
        <v>3.2</v>
      </c>
      <c r="O44" s="2"/>
      <c r="P44" s="2"/>
      <c r="Q44" s="2" t="e">
        <f t="shared" si="3"/>
        <v>#NUM!</v>
      </c>
      <c r="R44" s="2" t="e">
        <f t="shared" si="4"/>
        <v>#NUM!</v>
      </c>
      <c r="S44" s="2" t="e">
        <f t="shared" si="5"/>
        <v>#NUM!</v>
      </c>
      <c r="T44" s="2"/>
      <c r="U44" s="2"/>
      <c r="V44" s="2"/>
      <c r="W44" s="2"/>
      <c r="X44" s="2"/>
      <c r="Y44" s="2"/>
      <c r="Z44" s="2"/>
    </row>
    <row r="45" spans="1:26" x14ac:dyDescent="0.2">
      <c r="A45" s="2">
        <v>6</v>
      </c>
      <c r="B45" s="2">
        <v>260702</v>
      </c>
      <c r="C45" s="2" t="s">
        <v>90</v>
      </c>
      <c r="D45" s="2" t="s">
        <v>60</v>
      </c>
      <c r="E45" s="2" t="s">
        <v>91</v>
      </c>
      <c r="F45" s="2"/>
      <c r="G45" s="2"/>
      <c r="H45" s="2"/>
      <c r="I45" s="2"/>
      <c r="J45" s="2"/>
      <c r="K45" s="2"/>
      <c r="L45" s="2"/>
      <c r="M45" s="2"/>
      <c r="N45" s="2">
        <v>4.4000000000000004</v>
      </c>
      <c r="O45" s="2"/>
      <c r="P45" s="2"/>
      <c r="Q45" s="2" t="e">
        <f t="shared" si="3"/>
        <v>#NUM!</v>
      </c>
      <c r="R45" s="2" t="e">
        <f t="shared" si="4"/>
        <v>#NUM!</v>
      </c>
      <c r="S45" s="2" t="e">
        <f t="shared" si="5"/>
        <v>#NUM!</v>
      </c>
      <c r="T45" s="2"/>
      <c r="U45" s="2"/>
      <c r="V45" s="2"/>
      <c r="W45" s="2"/>
      <c r="X45" s="2"/>
      <c r="Y45" s="2"/>
      <c r="Z45" s="2"/>
    </row>
    <row r="46" spans="1:26" x14ac:dyDescent="0.2">
      <c r="A46" s="2">
        <v>6</v>
      </c>
      <c r="B46" s="2">
        <v>260702</v>
      </c>
      <c r="C46" s="2" t="s">
        <v>92</v>
      </c>
      <c r="D46" s="2" t="s">
        <v>60</v>
      </c>
      <c r="E46" s="2" t="s">
        <v>93</v>
      </c>
      <c r="F46" s="2"/>
      <c r="G46" s="2"/>
      <c r="H46" s="2"/>
      <c r="I46" s="2"/>
      <c r="J46" s="2"/>
      <c r="K46" s="2"/>
      <c r="L46" s="2"/>
      <c r="M46" s="2"/>
      <c r="N46" s="2">
        <v>4.4000000000000004</v>
      </c>
      <c r="O46" s="2"/>
      <c r="P46" s="2"/>
      <c r="Q46" s="2" t="e">
        <f t="shared" si="3"/>
        <v>#NUM!</v>
      </c>
      <c r="R46" s="2" t="e">
        <f t="shared" si="4"/>
        <v>#NUM!</v>
      </c>
      <c r="S46" s="2" t="e">
        <f t="shared" si="5"/>
        <v>#NUM!</v>
      </c>
      <c r="T46" s="2"/>
      <c r="U46" s="2"/>
      <c r="V46" s="2"/>
      <c r="W46" s="2"/>
      <c r="X46" s="2"/>
      <c r="Y46" s="2"/>
      <c r="Z46" s="2"/>
    </row>
    <row r="47" spans="1:26" x14ac:dyDescent="0.2">
      <c r="A47" s="2">
        <v>6</v>
      </c>
      <c r="B47" s="2">
        <v>260702</v>
      </c>
      <c r="C47" s="2" t="s">
        <v>49</v>
      </c>
      <c r="D47" s="2" t="s">
        <v>60</v>
      </c>
      <c r="E47" s="2" t="s">
        <v>94</v>
      </c>
      <c r="F47" s="2"/>
      <c r="G47" s="2"/>
      <c r="H47" s="2"/>
      <c r="I47" s="2"/>
      <c r="J47" s="2"/>
      <c r="K47" s="2"/>
      <c r="L47" s="2"/>
      <c r="M47" s="2"/>
      <c r="N47" s="2">
        <v>13.87</v>
      </c>
      <c r="O47" s="2"/>
      <c r="P47" s="2"/>
      <c r="Q47" s="2" t="e">
        <f t="shared" si="3"/>
        <v>#NUM!</v>
      </c>
      <c r="R47" s="2" t="e">
        <f t="shared" si="4"/>
        <v>#NUM!</v>
      </c>
      <c r="S47" s="2" t="e">
        <f t="shared" si="5"/>
        <v>#NUM!</v>
      </c>
      <c r="T47" s="2"/>
      <c r="U47" s="2"/>
      <c r="V47" s="2"/>
      <c r="W47" s="2"/>
      <c r="X47" s="2"/>
      <c r="Y47" s="2"/>
      <c r="Z47" s="2"/>
    </row>
    <row r="48" spans="1:26" x14ac:dyDescent="0.2">
      <c r="A48" s="2">
        <v>6</v>
      </c>
      <c r="B48" s="2">
        <v>260702</v>
      </c>
      <c r="C48" s="2" t="s">
        <v>51</v>
      </c>
      <c r="D48" s="2" t="s">
        <v>60</v>
      </c>
      <c r="E48" s="2" t="s">
        <v>95</v>
      </c>
      <c r="F48" s="2"/>
      <c r="G48" s="2"/>
      <c r="H48" s="2"/>
      <c r="I48" s="2"/>
      <c r="J48" s="2"/>
      <c r="K48" s="2"/>
      <c r="L48" s="2"/>
      <c r="M48" s="2"/>
      <c r="N48" s="2">
        <v>26.2</v>
      </c>
      <c r="O48" s="2"/>
      <c r="P48" s="2"/>
      <c r="Q48" s="2" t="e">
        <f t="shared" si="3"/>
        <v>#NUM!</v>
      </c>
      <c r="R48" s="2" t="e">
        <f t="shared" si="4"/>
        <v>#NUM!</v>
      </c>
      <c r="S48" s="2" t="e">
        <f t="shared" si="5"/>
        <v>#NUM!</v>
      </c>
      <c r="T48" s="2"/>
      <c r="U48" s="2"/>
      <c r="V48" s="2"/>
      <c r="W48" s="2"/>
      <c r="X48" s="2"/>
      <c r="Y48" s="2"/>
      <c r="Z48" s="2"/>
    </row>
    <row r="49" spans="1:26" x14ac:dyDescent="0.2">
      <c r="A49" s="2">
        <v>6</v>
      </c>
      <c r="B49" s="2">
        <v>260702</v>
      </c>
      <c r="C49" s="2" t="s">
        <v>53</v>
      </c>
      <c r="D49" s="2" t="s">
        <v>60</v>
      </c>
      <c r="E49" s="2" t="s">
        <v>96</v>
      </c>
      <c r="F49" s="2"/>
      <c r="G49" s="2"/>
      <c r="H49" s="2"/>
      <c r="I49" s="2"/>
      <c r="J49" s="2"/>
      <c r="K49" s="2"/>
      <c r="L49" s="2"/>
      <c r="M49" s="2"/>
      <c r="N49" s="2">
        <v>38.729999999999997</v>
      </c>
      <c r="O49" s="2"/>
      <c r="P49" s="2"/>
      <c r="Q49" s="2" t="e">
        <f t="shared" si="3"/>
        <v>#NUM!</v>
      </c>
      <c r="R49" s="2" t="e">
        <f t="shared" si="4"/>
        <v>#NUM!</v>
      </c>
      <c r="S49" s="2" t="e">
        <f t="shared" si="5"/>
        <v>#NUM!</v>
      </c>
      <c r="T49" s="2"/>
      <c r="U49" s="2"/>
      <c r="V49" s="2"/>
      <c r="W49" s="2"/>
      <c r="X49" s="2"/>
      <c r="Y49" s="2"/>
      <c r="Z49" s="2"/>
    </row>
    <row r="50" spans="1:26" x14ac:dyDescent="0.2">
      <c r="A50" s="2">
        <v>6</v>
      </c>
      <c r="B50" s="2">
        <v>260702</v>
      </c>
      <c r="C50" s="2" t="s">
        <v>85</v>
      </c>
      <c r="D50" s="2" t="s">
        <v>60</v>
      </c>
      <c r="E50" s="2" t="s">
        <v>97</v>
      </c>
      <c r="F50" s="2"/>
      <c r="G50" s="2"/>
      <c r="H50" s="2"/>
      <c r="I50" s="2"/>
      <c r="J50" s="2"/>
      <c r="K50" s="2"/>
      <c r="L50" s="2"/>
      <c r="M50" s="2"/>
      <c r="N50" s="2">
        <v>25</v>
      </c>
      <c r="O50" s="2"/>
      <c r="P50" s="2"/>
      <c r="Q50" s="2" t="e">
        <f t="shared" si="3"/>
        <v>#NUM!</v>
      </c>
      <c r="R50" s="2" t="e">
        <f t="shared" si="4"/>
        <v>#NUM!</v>
      </c>
      <c r="S50" s="2" t="e">
        <f t="shared" si="5"/>
        <v>#NUM!</v>
      </c>
      <c r="T50" s="2"/>
      <c r="U50" s="2"/>
      <c r="V50" s="2"/>
      <c r="W50" s="2"/>
      <c r="X50" s="2"/>
      <c r="Y50" s="2"/>
      <c r="Z50" s="2"/>
    </row>
    <row r="51" spans="1:26" x14ac:dyDescent="0.2">
      <c r="A51" s="2">
        <v>6</v>
      </c>
      <c r="B51" s="2">
        <v>260702</v>
      </c>
      <c r="C51" s="2" t="s">
        <v>34</v>
      </c>
      <c r="D51" s="2" t="s">
        <v>60</v>
      </c>
      <c r="E51" s="2" t="s">
        <v>98</v>
      </c>
      <c r="F51" s="2"/>
      <c r="G51" s="2"/>
      <c r="H51" s="2"/>
      <c r="I51" s="2"/>
      <c r="J51" s="2"/>
      <c r="K51" s="2"/>
      <c r="L51" s="2"/>
      <c r="M51" s="2"/>
      <c r="N51" s="2">
        <v>17.2</v>
      </c>
      <c r="O51" s="2"/>
      <c r="P51" s="2"/>
      <c r="Q51" s="2" t="e">
        <f t="shared" si="3"/>
        <v>#NUM!</v>
      </c>
      <c r="R51" s="2" t="e">
        <f t="shared" si="4"/>
        <v>#NUM!</v>
      </c>
      <c r="S51" s="2" t="e">
        <f t="shared" si="5"/>
        <v>#NUM!</v>
      </c>
      <c r="T51" s="2"/>
      <c r="U51" s="2"/>
      <c r="V51" s="2"/>
      <c r="W51" s="2"/>
      <c r="X51" s="2"/>
      <c r="Y51" s="2"/>
      <c r="Z51" s="2"/>
    </row>
    <row r="52" spans="1:26" x14ac:dyDescent="0.2">
      <c r="A52" s="2">
        <v>6</v>
      </c>
      <c r="B52" s="2">
        <v>260702</v>
      </c>
      <c r="C52" s="2" t="s">
        <v>32</v>
      </c>
      <c r="D52" s="2" t="s">
        <v>60</v>
      </c>
      <c r="E52" s="2" t="s">
        <v>99</v>
      </c>
      <c r="F52" s="2"/>
      <c r="G52" s="2"/>
      <c r="H52" s="2"/>
      <c r="I52" s="2"/>
      <c r="J52" s="2"/>
      <c r="K52" s="2"/>
      <c r="L52" s="2"/>
      <c r="M52" s="2"/>
      <c r="N52" s="2">
        <v>22.13</v>
      </c>
      <c r="O52" s="2"/>
      <c r="P52" s="2"/>
      <c r="Q52" s="2" t="e">
        <f t="shared" si="3"/>
        <v>#NUM!</v>
      </c>
      <c r="R52" s="2" t="e">
        <f t="shared" si="4"/>
        <v>#NUM!</v>
      </c>
      <c r="S52" s="2" t="e">
        <f t="shared" si="5"/>
        <v>#NUM!</v>
      </c>
      <c r="T52" s="2"/>
      <c r="U52" s="2"/>
      <c r="V52" s="2"/>
      <c r="W52" s="2"/>
      <c r="X52" s="2"/>
      <c r="Y52" s="2"/>
      <c r="Z52" s="2"/>
    </row>
    <row r="53" spans="1:26" x14ac:dyDescent="0.2">
      <c r="A53" s="2">
        <v>7</v>
      </c>
      <c r="B53" s="2">
        <v>260709</v>
      </c>
      <c r="C53" s="2" t="s">
        <v>36</v>
      </c>
      <c r="D53" s="2" t="s">
        <v>60</v>
      </c>
      <c r="E53" s="2" t="s">
        <v>100</v>
      </c>
      <c r="F53" s="2"/>
      <c r="G53" s="2"/>
      <c r="H53" s="2"/>
      <c r="I53" s="2"/>
      <c r="J53" s="2"/>
      <c r="K53" s="2"/>
      <c r="L53" s="2"/>
      <c r="M53" s="2"/>
      <c r="N53" s="2">
        <v>6.27</v>
      </c>
      <c r="O53" s="2"/>
      <c r="P53" s="2"/>
      <c r="Q53" s="2" t="e">
        <f t="shared" si="3"/>
        <v>#NUM!</v>
      </c>
      <c r="R53" s="2" t="e">
        <f t="shared" si="4"/>
        <v>#NUM!</v>
      </c>
      <c r="S53" s="2" t="e">
        <f t="shared" si="5"/>
        <v>#NUM!</v>
      </c>
      <c r="T53" s="2"/>
      <c r="U53" s="2"/>
      <c r="V53" s="2"/>
      <c r="W53" s="2"/>
      <c r="X53" s="2"/>
      <c r="Y53" s="2"/>
      <c r="Z53" s="2"/>
    </row>
    <row r="54" spans="1:26" x14ac:dyDescent="0.2">
      <c r="A54" s="2">
        <v>7</v>
      </c>
      <c r="B54" s="2">
        <v>260709</v>
      </c>
      <c r="C54" s="2" t="s">
        <v>19</v>
      </c>
      <c r="D54" s="2" t="s">
        <v>60</v>
      </c>
      <c r="E54" s="2" t="s">
        <v>101</v>
      </c>
      <c r="F54" s="2"/>
      <c r="G54" s="2"/>
      <c r="H54" s="2"/>
      <c r="I54" s="2"/>
      <c r="J54" s="2"/>
      <c r="K54" s="2"/>
      <c r="L54" s="2"/>
      <c r="M54" s="2"/>
      <c r="N54" s="2">
        <v>23.47</v>
      </c>
      <c r="O54" s="2"/>
      <c r="P54" s="2"/>
      <c r="Q54" s="2" t="e">
        <f t="shared" si="3"/>
        <v>#NUM!</v>
      </c>
      <c r="R54" s="2" t="e">
        <f t="shared" si="4"/>
        <v>#NUM!</v>
      </c>
      <c r="S54" s="2" t="e">
        <f t="shared" si="5"/>
        <v>#NUM!</v>
      </c>
      <c r="T54" s="2"/>
      <c r="U54" s="2"/>
      <c r="V54" s="2"/>
      <c r="W54" s="2"/>
      <c r="X54" s="2"/>
      <c r="Y54" s="2"/>
      <c r="Z54" s="2"/>
    </row>
    <row r="55" spans="1:26" x14ac:dyDescent="0.2">
      <c r="A55" s="2">
        <v>7</v>
      </c>
      <c r="B55" s="2">
        <v>260709</v>
      </c>
      <c r="C55" s="2" t="s">
        <v>22</v>
      </c>
      <c r="D55" s="2" t="s">
        <v>60</v>
      </c>
      <c r="E55" s="2" t="s">
        <v>102</v>
      </c>
      <c r="F55" s="2"/>
      <c r="G55" s="2"/>
      <c r="H55" s="2"/>
      <c r="I55" s="2"/>
      <c r="J55" s="2"/>
      <c r="K55" s="2"/>
      <c r="L55" s="2"/>
      <c r="M55" s="2"/>
      <c r="N55" s="2">
        <v>8.5500000000000007</v>
      </c>
      <c r="O55" s="2"/>
      <c r="P55" s="2"/>
      <c r="Q55" s="2" t="e">
        <f t="shared" si="3"/>
        <v>#NUM!</v>
      </c>
      <c r="R55" s="2" t="e">
        <f t="shared" si="4"/>
        <v>#NUM!</v>
      </c>
      <c r="S55" s="2" t="e">
        <f t="shared" si="5"/>
        <v>#NUM!</v>
      </c>
      <c r="T55" s="2"/>
      <c r="U55" s="2"/>
      <c r="V55" s="2"/>
      <c r="W55" s="2"/>
      <c r="X55" s="2"/>
      <c r="Y55" s="2"/>
      <c r="Z55" s="2"/>
    </row>
    <row r="56" spans="1:26" x14ac:dyDescent="0.2">
      <c r="A56" s="2">
        <v>7</v>
      </c>
      <c r="B56" s="2">
        <v>260709</v>
      </c>
      <c r="C56" s="2" t="s">
        <v>24</v>
      </c>
      <c r="D56" s="2" t="s">
        <v>60</v>
      </c>
      <c r="E56" s="2" t="s">
        <v>103</v>
      </c>
      <c r="F56" s="2"/>
      <c r="G56" s="2"/>
      <c r="H56" s="2"/>
      <c r="I56" s="2"/>
      <c r="J56" s="2"/>
      <c r="K56" s="2"/>
      <c r="L56" s="2"/>
      <c r="M56" s="2"/>
      <c r="N56" s="2">
        <v>3.23</v>
      </c>
      <c r="O56" s="2"/>
      <c r="P56" s="2"/>
      <c r="Q56" s="2" t="e">
        <f t="shared" si="3"/>
        <v>#NUM!</v>
      </c>
      <c r="R56" s="2" t="e">
        <f t="shared" si="4"/>
        <v>#NUM!</v>
      </c>
      <c r="S56" s="2" t="e">
        <f t="shared" si="5"/>
        <v>#NUM!</v>
      </c>
      <c r="T56" s="2"/>
      <c r="U56" s="2"/>
      <c r="V56" s="2"/>
      <c r="W56" s="2"/>
      <c r="X56" s="2"/>
      <c r="Y56" s="2"/>
      <c r="Z56" s="2"/>
    </row>
    <row r="57" spans="1:26" x14ac:dyDescent="0.2">
      <c r="A57" s="2">
        <v>7</v>
      </c>
      <c r="B57" s="2">
        <v>260709</v>
      </c>
      <c r="C57" s="2" t="s">
        <v>70</v>
      </c>
      <c r="D57" s="2" t="s">
        <v>60</v>
      </c>
      <c r="E57" s="2" t="s">
        <v>104</v>
      </c>
      <c r="F57" s="2"/>
      <c r="G57" s="2"/>
      <c r="H57" s="2"/>
      <c r="I57" s="2"/>
      <c r="J57" s="2"/>
      <c r="K57" s="2"/>
      <c r="L57" s="2"/>
      <c r="M57" s="2"/>
      <c r="N57" s="2">
        <v>3.73</v>
      </c>
      <c r="O57" s="2"/>
      <c r="P57" s="2"/>
      <c r="Q57" s="2" t="e">
        <f t="shared" si="3"/>
        <v>#NUM!</v>
      </c>
      <c r="R57" s="2" t="e">
        <f t="shared" si="4"/>
        <v>#NUM!</v>
      </c>
      <c r="S57" s="2" t="e">
        <f t="shared" si="5"/>
        <v>#NUM!</v>
      </c>
      <c r="T57" s="2"/>
      <c r="U57" s="2"/>
      <c r="V57" s="2"/>
      <c r="W57" s="2"/>
      <c r="X57" s="2"/>
      <c r="Y57" s="2"/>
      <c r="Z57" s="2"/>
    </row>
    <row r="58" spans="1:26" x14ac:dyDescent="0.2">
      <c r="A58" s="2">
        <v>7</v>
      </c>
      <c r="B58" s="2">
        <v>260709</v>
      </c>
      <c r="C58" s="2" t="s">
        <v>72</v>
      </c>
      <c r="D58" s="2" t="s">
        <v>60</v>
      </c>
      <c r="E58" s="2" t="s">
        <v>105</v>
      </c>
      <c r="F58" s="2"/>
      <c r="G58" s="2"/>
      <c r="H58" s="2"/>
      <c r="I58" s="2"/>
      <c r="J58" s="2"/>
      <c r="K58" s="2"/>
      <c r="L58" s="2"/>
      <c r="M58" s="2"/>
      <c r="N58" s="2">
        <v>3.73</v>
      </c>
      <c r="O58" s="2"/>
      <c r="P58" s="2"/>
      <c r="Q58" s="2" t="e">
        <f t="shared" si="3"/>
        <v>#NUM!</v>
      </c>
      <c r="R58" s="2" t="e">
        <f t="shared" si="4"/>
        <v>#NUM!</v>
      </c>
      <c r="S58" s="2" t="e">
        <f t="shared" si="5"/>
        <v>#NUM!</v>
      </c>
      <c r="T58" s="2"/>
      <c r="U58" s="2"/>
      <c r="V58" s="2"/>
      <c r="W58" s="2"/>
      <c r="X58" s="2"/>
      <c r="Y58" s="2"/>
      <c r="Z58" s="2"/>
    </row>
    <row r="59" spans="1:26" x14ac:dyDescent="0.2">
      <c r="A59" s="2">
        <v>7</v>
      </c>
      <c r="B59" s="2">
        <v>260709</v>
      </c>
      <c r="C59" s="2" t="s">
        <v>43</v>
      </c>
      <c r="D59" s="2" t="s">
        <v>60</v>
      </c>
      <c r="E59" s="2" t="s">
        <v>106</v>
      </c>
      <c r="F59" s="2"/>
      <c r="G59" s="2"/>
      <c r="H59" s="2"/>
      <c r="I59" s="2"/>
      <c r="J59" s="2"/>
      <c r="K59" s="2"/>
      <c r="L59" s="2"/>
      <c r="M59" s="2"/>
      <c r="N59" s="2">
        <v>6.53</v>
      </c>
      <c r="O59" s="2"/>
      <c r="P59" s="2"/>
      <c r="Q59" s="2" t="e">
        <f t="shared" si="3"/>
        <v>#NUM!</v>
      </c>
      <c r="R59" s="2" t="e">
        <f t="shared" si="4"/>
        <v>#NUM!</v>
      </c>
      <c r="S59" s="2" t="e">
        <f t="shared" si="5"/>
        <v>#NUM!</v>
      </c>
      <c r="T59" s="2"/>
      <c r="U59" s="2"/>
      <c r="V59" s="2"/>
      <c r="W59" s="2"/>
      <c r="X59" s="2"/>
      <c r="Y59" s="2"/>
      <c r="Z59" s="2"/>
    </row>
    <row r="60" spans="1:26" x14ac:dyDescent="0.2">
      <c r="A60" s="2">
        <v>8</v>
      </c>
      <c r="B60" s="2">
        <v>260716</v>
      </c>
      <c r="C60" s="2" t="s">
        <v>45</v>
      </c>
      <c r="D60" s="2" t="s">
        <v>60</v>
      </c>
      <c r="E60" s="2" t="s">
        <v>107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 t="e">
        <f t="shared" si="3"/>
        <v>#NUM!</v>
      </c>
      <c r="R60" s="2" t="e">
        <f t="shared" si="4"/>
        <v>#NUM!</v>
      </c>
      <c r="S60" s="2" t="e">
        <f t="shared" si="5"/>
        <v>#NUM!</v>
      </c>
      <c r="T60" s="2"/>
      <c r="U60" s="2"/>
      <c r="V60" s="2"/>
      <c r="W60" s="2"/>
      <c r="X60" s="2"/>
      <c r="Y60" s="2"/>
      <c r="Z60" s="2"/>
    </row>
    <row r="61" spans="1:26" x14ac:dyDescent="0.2">
      <c r="A61" s="2">
        <v>8</v>
      </c>
      <c r="B61" s="2">
        <v>260716</v>
      </c>
      <c r="C61" s="2" t="s">
        <v>47</v>
      </c>
      <c r="D61" s="2" t="s">
        <v>60</v>
      </c>
      <c r="E61" s="2" t="s">
        <v>108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 t="e">
        <f t="shared" si="3"/>
        <v>#NUM!</v>
      </c>
      <c r="R61" s="2" t="e">
        <f t="shared" si="4"/>
        <v>#NUM!</v>
      </c>
      <c r="S61" s="2" t="e">
        <f t="shared" si="5"/>
        <v>#NUM!</v>
      </c>
      <c r="T61" s="2"/>
      <c r="U61" s="2"/>
      <c r="V61" s="2"/>
      <c r="W61" s="2"/>
      <c r="X61" s="2"/>
      <c r="Y61" s="2"/>
      <c r="Z61" s="2"/>
    </row>
    <row r="62" spans="1:26" x14ac:dyDescent="0.2">
      <c r="A62" s="2">
        <v>8</v>
      </c>
      <c r="B62" s="2">
        <v>260716</v>
      </c>
      <c r="C62" s="2" t="s">
        <v>49</v>
      </c>
      <c r="D62" s="2" t="s">
        <v>60</v>
      </c>
      <c r="E62" s="2" t="s">
        <v>109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 t="e">
        <f t="shared" si="3"/>
        <v>#NUM!</v>
      </c>
      <c r="R62" s="2" t="e">
        <f t="shared" si="4"/>
        <v>#NUM!</v>
      </c>
      <c r="S62" s="2" t="e">
        <f t="shared" si="5"/>
        <v>#NUM!</v>
      </c>
      <c r="T62" s="2"/>
      <c r="U62" s="2"/>
      <c r="V62" s="2"/>
      <c r="W62" s="2"/>
      <c r="X62" s="2"/>
      <c r="Y62" s="2"/>
      <c r="Z62" s="2"/>
    </row>
    <row r="63" spans="1:26" x14ac:dyDescent="0.2">
      <c r="A63" s="2">
        <v>8</v>
      </c>
      <c r="B63" s="2">
        <v>260716</v>
      </c>
      <c r="C63" s="2" t="s">
        <v>51</v>
      </c>
      <c r="D63" s="2" t="s">
        <v>60</v>
      </c>
      <c r="E63" s="2" t="s">
        <v>110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 t="e">
        <f t="shared" si="3"/>
        <v>#NUM!</v>
      </c>
      <c r="R63" s="2" t="e">
        <f t="shared" si="4"/>
        <v>#NUM!</v>
      </c>
      <c r="S63" s="2" t="e">
        <f t="shared" si="5"/>
        <v>#NUM!</v>
      </c>
      <c r="T63" s="2"/>
      <c r="U63" s="2"/>
      <c r="V63" s="2"/>
      <c r="W63" s="2"/>
      <c r="X63" s="2"/>
      <c r="Y63" s="2"/>
      <c r="Z63" s="2"/>
    </row>
    <row r="64" spans="1:26" x14ac:dyDescent="0.2">
      <c r="A64" s="2">
        <v>8</v>
      </c>
      <c r="B64" s="2">
        <v>260716</v>
      </c>
      <c r="C64" s="2" t="s">
        <v>53</v>
      </c>
      <c r="D64" s="2" t="s">
        <v>60</v>
      </c>
      <c r="E64" s="2" t="s">
        <v>111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 t="e">
        <f t="shared" si="3"/>
        <v>#NUM!</v>
      </c>
      <c r="R64" s="2" t="e">
        <f t="shared" si="4"/>
        <v>#NUM!</v>
      </c>
      <c r="S64" s="2" t="e">
        <f t="shared" si="5"/>
        <v>#NUM!</v>
      </c>
      <c r="T64" s="2"/>
      <c r="U64" s="2"/>
      <c r="V64" s="2"/>
      <c r="W64" s="2"/>
      <c r="X64" s="2"/>
      <c r="Y64" s="2"/>
      <c r="Z64" s="2"/>
    </row>
    <row r="65" spans="1:26" x14ac:dyDescent="0.2">
      <c r="A65" s="2">
        <v>8</v>
      </c>
      <c r="B65" s="2">
        <v>260716</v>
      </c>
      <c r="C65" s="2" t="s">
        <v>85</v>
      </c>
      <c r="D65" s="2" t="s">
        <v>60</v>
      </c>
      <c r="E65" s="2" t="s">
        <v>112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 t="e">
        <f t="shared" si="3"/>
        <v>#NUM!</v>
      </c>
      <c r="R65" s="2" t="e">
        <f t="shared" si="4"/>
        <v>#NUM!</v>
      </c>
      <c r="S65" s="2" t="e">
        <f t="shared" si="5"/>
        <v>#NUM!</v>
      </c>
      <c r="T65" s="2"/>
      <c r="U65" s="2"/>
      <c r="V65" s="2"/>
      <c r="W65" s="2"/>
      <c r="X65" s="2"/>
      <c r="Y65" s="2"/>
      <c r="Z65" s="2"/>
    </row>
    <row r="66" spans="1:26" x14ac:dyDescent="0.2">
      <c r="A66" s="2">
        <v>8</v>
      </c>
      <c r="B66" s="2">
        <v>260716</v>
      </c>
      <c r="C66" s="2" t="s">
        <v>36</v>
      </c>
      <c r="D66" s="2" t="s">
        <v>60</v>
      </c>
      <c r="E66" s="2" t="s">
        <v>113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 t="e">
        <f t="shared" ref="Q66:Q97" si="6">((F66- 0.00793) / 0.1333)^(1/0.6199)</f>
        <v>#NUM!</v>
      </c>
      <c r="R66" s="2" t="e">
        <f t="shared" ref="R66:R97" si="7">((H66- 0.0166) / 0.0825)^(1/0.6529)</f>
        <v>#NUM!</v>
      </c>
      <c r="S66" s="2" t="e">
        <f t="shared" ref="S66:S97" si="8">((J66- 0.06053) / 0.0561)^(1/0.507)</f>
        <v>#NUM!</v>
      </c>
      <c r="T66" s="2"/>
      <c r="U66" s="2"/>
      <c r="V66" s="2"/>
      <c r="W66" s="2"/>
      <c r="X66" s="2"/>
      <c r="Y66" s="2"/>
      <c r="Z66" s="2"/>
    </row>
    <row r="67" spans="1:26" x14ac:dyDescent="0.2">
      <c r="A67" s="2">
        <v>9</v>
      </c>
      <c r="B67" s="2">
        <v>260728</v>
      </c>
      <c r="C67" s="2" t="s">
        <v>19</v>
      </c>
      <c r="D67" s="2" t="s">
        <v>60</v>
      </c>
      <c r="E67" s="2" t="s">
        <v>114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 t="e">
        <f t="shared" si="6"/>
        <v>#NUM!</v>
      </c>
      <c r="R67" s="2" t="e">
        <f t="shared" si="7"/>
        <v>#NUM!</v>
      </c>
      <c r="S67" s="2" t="e">
        <f t="shared" si="8"/>
        <v>#NUM!</v>
      </c>
      <c r="T67" s="2"/>
      <c r="U67" s="2"/>
      <c r="V67" s="2"/>
      <c r="W67" s="2"/>
      <c r="X67" s="2"/>
      <c r="Y67" s="2"/>
      <c r="Z67" s="2"/>
    </row>
    <row r="68" spans="1:26" x14ac:dyDescent="0.2">
      <c r="A68" s="2">
        <v>9</v>
      </c>
      <c r="B68" s="2">
        <v>260728</v>
      </c>
      <c r="C68" s="2" t="s">
        <v>62</v>
      </c>
      <c r="D68" s="2" t="s">
        <v>60</v>
      </c>
      <c r="E68" s="2" t="s">
        <v>115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 t="e">
        <f t="shared" si="6"/>
        <v>#NUM!</v>
      </c>
      <c r="R68" s="2" t="e">
        <f t="shared" si="7"/>
        <v>#NUM!</v>
      </c>
      <c r="S68" s="2" t="e">
        <f t="shared" si="8"/>
        <v>#NUM!</v>
      </c>
      <c r="T68" s="2"/>
      <c r="U68" s="2"/>
      <c r="V68" s="2"/>
      <c r="W68" s="2"/>
      <c r="X68" s="2"/>
      <c r="Y68" s="2"/>
      <c r="Z68" s="2"/>
    </row>
    <row r="69" spans="1:26" x14ac:dyDescent="0.2">
      <c r="A69" s="2">
        <v>9</v>
      </c>
      <c r="B69" s="2">
        <v>260728</v>
      </c>
      <c r="C69" s="2" t="s">
        <v>64</v>
      </c>
      <c r="D69" s="2" t="s">
        <v>60</v>
      </c>
      <c r="E69" s="2" t="s">
        <v>116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 t="e">
        <f t="shared" si="6"/>
        <v>#NUM!</v>
      </c>
      <c r="R69" s="2" t="e">
        <f t="shared" si="7"/>
        <v>#NUM!</v>
      </c>
      <c r="S69" s="2" t="e">
        <f t="shared" si="8"/>
        <v>#NUM!</v>
      </c>
      <c r="T69" s="2"/>
      <c r="U69" s="2"/>
      <c r="V69" s="2"/>
      <c r="W69" s="2"/>
      <c r="X69" s="2"/>
      <c r="Y69" s="2"/>
      <c r="Z69" s="2"/>
    </row>
    <row r="70" spans="1:26" x14ac:dyDescent="0.2">
      <c r="A70" s="2">
        <v>9</v>
      </c>
      <c r="B70" s="2">
        <v>260728</v>
      </c>
      <c r="C70" s="2" t="s">
        <v>24</v>
      </c>
      <c r="D70" s="2" t="s">
        <v>60</v>
      </c>
      <c r="E70" s="2" t="s">
        <v>117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 t="e">
        <f t="shared" si="6"/>
        <v>#NUM!</v>
      </c>
      <c r="R70" s="2" t="e">
        <f t="shared" si="7"/>
        <v>#NUM!</v>
      </c>
      <c r="S70" s="2" t="e">
        <f t="shared" si="8"/>
        <v>#NUM!</v>
      </c>
      <c r="T70" s="2"/>
      <c r="U70" s="2"/>
      <c r="V70" s="2"/>
      <c r="W70" s="2"/>
      <c r="X70" s="2"/>
      <c r="Y70" s="2"/>
      <c r="Z70" s="2"/>
    </row>
    <row r="71" spans="1:26" x14ac:dyDescent="0.2">
      <c r="A71" s="2">
        <v>9</v>
      </c>
      <c r="B71" s="2">
        <v>260728</v>
      </c>
      <c r="C71" s="2" t="s">
        <v>26</v>
      </c>
      <c r="D71" s="2" t="s">
        <v>60</v>
      </c>
      <c r="E71" s="2" t="s">
        <v>118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 t="e">
        <f t="shared" si="6"/>
        <v>#NUM!</v>
      </c>
      <c r="R71" s="2" t="e">
        <f t="shared" si="7"/>
        <v>#NUM!</v>
      </c>
      <c r="S71" s="2" t="e">
        <f t="shared" si="8"/>
        <v>#NUM!</v>
      </c>
      <c r="T71" s="2"/>
      <c r="U71" s="2"/>
      <c r="V71" s="2"/>
      <c r="W71" s="2"/>
      <c r="X71" s="2"/>
      <c r="Y71" s="2"/>
      <c r="Z71" s="2"/>
    </row>
    <row r="72" spans="1:26" x14ac:dyDescent="0.2">
      <c r="A72" s="2">
        <v>9</v>
      </c>
      <c r="B72" s="2">
        <v>260728</v>
      </c>
      <c r="C72" s="2" t="s">
        <v>43</v>
      </c>
      <c r="D72" s="2" t="s">
        <v>60</v>
      </c>
      <c r="E72" s="2" t="s">
        <v>119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 t="e">
        <f t="shared" si="6"/>
        <v>#NUM!</v>
      </c>
      <c r="R72" s="2" t="e">
        <f t="shared" si="7"/>
        <v>#NUM!</v>
      </c>
      <c r="S72" s="2" t="e">
        <f t="shared" si="8"/>
        <v>#NUM!</v>
      </c>
      <c r="T72" s="2"/>
      <c r="U72" s="2"/>
      <c r="V72" s="2"/>
      <c r="W72" s="2"/>
      <c r="X72" s="2"/>
      <c r="Y72" s="2"/>
      <c r="Z72" s="2"/>
    </row>
    <row r="73" spans="1:26" x14ac:dyDescent="0.2">
      <c r="A73" s="2">
        <v>9</v>
      </c>
      <c r="B73" s="2">
        <v>260728</v>
      </c>
      <c r="C73" s="2" t="s">
        <v>120</v>
      </c>
      <c r="D73" s="2" t="s">
        <v>60</v>
      </c>
      <c r="E73" s="2" t="s">
        <v>121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 t="e">
        <f t="shared" si="6"/>
        <v>#NUM!</v>
      </c>
      <c r="R73" s="2" t="e">
        <f t="shared" si="7"/>
        <v>#NUM!</v>
      </c>
      <c r="S73" s="2" t="e">
        <f t="shared" si="8"/>
        <v>#NUM!</v>
      </c>
      <c r="T73" s="2"/>
      <c r="U73" s="2"/>
      <c r="V73" s="2"/>
      <c r="W73" s="2"/>
      <c r="X73" s="2"/>
      <c r="Y73" s="2"/>
      <c r="Z73" s="2"/>
    </row>
    <row r="74" spans="1:26" x14ac:dyDescent="0.2">
      <c r="A74" s="2">
        <v>9</v>
      </c>
      <c r="B74" s="2">
        <v>260728</v>
      </c>
      <c r="C74" s="2" t="s">
        <v>122</v>
      </c>
      <c r="D74" s="2" t="s">
        <v>60</v>
      </c>
      <c r="E74" s="2" t="s">
        <v>123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 t="e">
        <f t="shared" si="6"/>
        <v>#NUM!</v>
      </c>
      <c r="R74" s="2" t="e">
        <f t="shared" si="7"/>
        <v>#NUM!</v>
      </c>
      <c r="S74" s="2" t="e">
        <f t="shared" si="8"/>
        <v>#NUM!</v>
      </c>
      <c r="T74" s="2"/>
      <c r="U74" s="2"/>
      <c r="V74" s="2"/>
      <c r="W74" s="2"/>
      <c r="X74" s="2"/>
      <c r="Y74" s="2"/>
      <c r="Z74" s="2"/>
    </row>
    <row r="75" spans="1:26" x14ac:dyDescent="0.2">
      <c r="A75" s="2">
        <v>9</v>
      </c>
      <c r="B75" s="2">
        <v>260728</v>
      </c>
      <c r="C75" s="2" t="s">
        <v>34</v>
      </c>
      <c r="D75" s="2" t="s">
        <v>60</v>
      </c>
      <c r="E75" s="2" t="s">
        <v>124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 t="e">
        <f t="shared" si="6"/>
        <v>#NUM!</v>
      </c>
      <c r="R75" s="2" t="e">
        <f t="shared" si="7"/>
        <v>#NUM!</v>
      </c>
      <c r="S75" s="2" t="e">
        <f t="shared" si="8"/>
        <v>#NUM!</v>
      </c>
      <c r="T75" s="2"/>
      <c r="U75" s="2"/>
      <c r="V75" s="2"/>
      <c r="W75" s="2"/>
      <c r="X75" s="2"/>
      <c r="Y75" s="2"/>
      <c r="Z75" s="2"/>
    </row>
    <row r="76" spans="1:26" x14ac:dyDescent="0.2">
      <c r="A76" s="2">
        <v>10</v>
      </c>
      <c r="B76" s="2">
        <v>260805</v>
      </c>
      <c r="C76" s="2" t="s">
        <v>45</v>
      </c>
      <c r="D76" s="2" t="s">
        <v>60</v>
      </c>
      <c r="E76" s="2" t="s">
        <v>125</v>
      </c>
      <c r="F76" s="2"/>
      <c r="G76" s="2"/>
      <c r="H76" s="2"/>
      <c r="I76" s="2"/>
      <c r="J76" s="2"/>
      <c r="K76" s="2"/>
      <c r="L76" s="2"/>
      <c r="M76" s="2"/>
      <c r="N76" s="2">
        <v>6.77</v>
      </c>
      <c r="O76" s="2"/>
      <c r="P76" s="2"/>
      <c r="Q76" s="2" t="e">
        <f t="shared" si="6"/>
        <v>#NUM!</v>
      </c>
      <c r="R76" s="2" t="e">
        <f t="shared" si="7"/>
        <v>#NUM!</v>
      </c>
      <c r="S76" s="2" t="e">
        <f t="shared" si="8"/>
        <v>#NUM!</v>
      </c>
      <c r="T76" s="2"/>
      <c r="U76" s="2"/>
      <c r="V76" s="2"/>
      <c r="W76" s="2"/>
      <c r="X76" s="2"/>
      <c r="Y76" s="2"/>
      <c r="Z76" s="2"/>
    </row>
    <row r="77" spans="1:26" x14ac:dyDescent="0.2">
      <c r="A77" s="2">
        <v>10</v>
      </c>
      <c r="B77" s="2">
        <v>260805</v>
      </c>
      <c r="C77" s="2" t="s">
        <v>47</v>
      </c>
      <c r="D77" s="2" t="s">
        <v>60</v>
      </c>
      <c r="E77" s="2" t="s">
        <v>126</v>
      </c>
      <c r="F77" s="2"/>
      <c r="G77" s="2"/>
      <c r="H77" s="2"/>
      <c r="I77" s="2"/>
      <c r="J77" s="2"/>
      <c r="K77" s="2"/>
      <c r="L77" s="2"/>
      <c r="M77" s="2"/>
      <c r="N77" s="2">
        <v>6.25</v>
      </c>
      <c r="O77" s="2"/>
      <c r="P77" s="2"/>
      <c r="Q77" s="2" t="e">
        <f t="shared" si="6"/>
        <v>#NUM!</v>
      </c>
      <c r="R77" s="2" t="e">
        <f t="shared" si="7"/>
        <v>#NUM!</v>
      </c>
      <c r="S77" s="2" t="e">
        <f t="shared" si="8"/>
        <v>#NUM!</v>
      </c>
      <c r="T77" s="2"/>
      <c r="U77" s="2"/>
      <c r="V77" s="2"/>
      <c r="W77" s="2"/>
      <c r="X77" s="2"/>
      <c r="Y77" s="2"/>
      <c r="Z77" s="2"/>
    </row>
    <row r="78" spans="1:26" x14ac:dyDescent="0.2">
      <c r="A78" s="2">
        <v>10</v>
      </c>
      <c r="B78" s="2">
        <v>260805</v>
      </c>
      <c r="C78" s="2" t="s">
        <v>49</v>
      </c>
      <c r="D78" s="2" t="s">
        <v>60</v>
      </c>
      <c r="E78" s="2" t="s">
        <v>127</v>
      </c>
      <c r="F78" s="2"/>
      <c r="G78" s="2"/>
      <c r="H78" s="2"/>
      <c r="I78" s="2"/>
      <c r="J78" s="2"/>
      <c r="K78" s="2"/>
      <c r="L78" s="2"/>
      <c r="M78" s="2"/>
      <c r="N78" s="2">
        <v>10.51</v>
      </c>
      <c r="O78" s="2"/>
      <c r="P78" s="2"/>
      <c r="Q78" s="2" t="e">
        <f t="shared" si="6"/>
        <v>#NUM!</v>
      </c>
      <c r="R78" s="2" t="e">
        <f t="shared" si="7"/>
        <v>#NUM!</v>
      </c>
      <c r="S78" s="2" t="e">
        <f t="shared" si="8"/>
        <v>#NUM!</v>
      </c>
      <c r="T78" s="2"/>
      <c r="U78" s="2"/>
      <c r="V78" s="2"/>
      <c r="W78" s="2"/>
      <c r="X78" s="2"/>
      <c r="Y78" s="2"/>
      <c r="Z78" s="2"/>
    </row>
    <row r="79" spans="1:26" x14ac:dyDescent="0.2">
      <c r="A79" s="2">
        <v>10</v>
      </c>
      <c r="B79" s="2">
        <v>260805</v>
      </c>
      <c r="C79" s="2" t="s">
        <v>51</v>
      </c>
      <c r="D79" s="2" t="s">
        <v>60</v>
      </c>
      <c r="E79" s="2" t="s">
        <v>128</v>
      </c>
      <c r="F79" s="2"/>
      <c r="G79" s="2"/>
      <c r="H79" s="2"/>
      <c r="I79" s="2"/>
      <c r="J79" s="2"/>
      <c r="K79" s="2"/>
      <c r="L79" s="2"/>
      <c r="M79" s="2"/>
      <c r="N79" s="2">
        <v>6.83</v>
      </c>
      <c r="O79" s="2"/>
      <c r="P79" s="2"/>
      <c r="Q79" s="2" t="e">
        <f t="shared" si="6"/>
        <v>#NUM!</v>
      </c>
      <c r="R79" s="2" t="e">
        <f t="shared" si="7"/>
        <v>#NUM!</v>
      </c>
      <c r="S79" s="2" t="e">
        <f t="shared" si="8"/>
        <v>#NUM!</v>
      </c>
      <c r="T79" s="2"/>
      <c r="U79" s="2"/>
      <c r="V79" s="2"/>
      <c r="W79" s="2"/>
      <c r="X79" s="2"/>
      <c r="Y79" s="2"/>
      <c r="Z79" s="2"/>
    </row>
    <row r="80" spans="1:26" x14ac:dyDescent="0.2">
      <c r="A80" s="2">
        <v>10</v>
      </c>
      <c r="B80" s="2">
        <v>260805</v>
      </c>
      <c r="C80" s="2" t="s">
        <v>53</v>
      </c>
      <c r="D80" s="2" t="s">
        <v>60</v>
      </c>
      <c r="E80" s="2" t="s">
        <v>129</v>
      </c>
      <c r="F80" s="2"/>
      <c r="G80" s="2"/>
      <c r="H80" s="2"/>
      <c r="I80" s="2"/>
      <c r="J80" s="2"/>
      <c r="K80" s="2"/>
      <c r="L80" s="2"/>
      <c r="M80" s="2"/>
      <c r="N80" s="2">
        <v>9.2100000000000009</v>
      </c>
      <c r="O80" s="2"/>
      <c r="P80" s="2"/>
      <c r="Q80" s="2" t="e">
        <f t="shared" si="6"/>
        <v>#NUM!</v>
      </c>
      <c r="R80" s="2" t="e">
        <f t="shared" si="7"/>
        <v>#NUM!</v>
      </c>
      <c r="S80" s="2" t="e">
        <f t="shared" si="8"/>
        <v>#NUM!</v>
      </c>
      <c r="T80" s="2"/>
      <c r="U80" s="2"/>
      <c r="V80" s="2"/>
      <c r="W80" s="2"/>
      <c r="X80" s="2"/>
      <c r="Y80" s="2"/>
      <c r="Z80" s="2"/>
    </row>
    <row r="81" spans="1:26" x14ac:dyDescent="0.2">
      <c r="A81" s="2">
        <v>10</v>
      </c>
      <c r="B81" s="2">
        <v>260805</v>
      </c>
      <c r="C81" s="2" t="s">
        <v>120</v>
      </c>
      <c r="D81" s="2" t="s">
        <v>60</v>
      </c>
      <c r="E81" s="2" t="s">
        <v>130</v>
      </c>
      <c r="F81" s="2"/>
      <c r="G81" s="2"/>
      <c r="H81" s="2"/>
      <c r="I81" s="2"/>
      <c r="J81" s="2"/>
      <c r="K81" s="2"/>
      <c r="L81" s="2"/>
      <c r="M81" s="2"/>
      <c r="N81" s="2">
        <v>2.75</v>
      </c>
      <c r="O81" s="2"/>
      <c r="P81" s="2"/>
      <c r="Q81" s="2" t="e">
        <f t="shared" si="6"/>
        <v>#NUM!</v>
      </c>
      <c r="R81" s="2" t="e">
        <f t="shared" si="7"/>
        <v>#NUM!</v>
      </c>
      <c r="S81" s="2" t="e">
        <f t="shared" si="8"/>
        <v>#NUM!</v>
      </c>
      <c r="T81" s="2"/>
      <c r="U81" s="2"/>
      <c r="V81" s="2"/>
      <c r="W81" s="2"/>
      <c r="X81" s="2"/>
      <c r="Y81" s="2"/>
      <c r="Z81" s="2"/>
    </row>
    <row r="82" spans="1:26" x14ac:dyDescent="0.2">
      <c r="A82" s="2">
        <v>10</v>
      </c>
      <c r="B82" s="2">
        <v>260805</v>
      </c>
      <c r="C82" s="2" t="s">
        <v>122</v>
      </c>
      <c r="D82" s="2" t="s">
        <v>60</v>
      </c>
      <c r="E82" s="2" t="s">
        <v>131</v>
      </c>
      <c r="F82" s="2"/>
      <c r="G82" s="2"/>
      <c r="H82" s="2"/>
      <c r="I82" s="2"/>
      <c r="J82" s="2"/>
      <c r="K82" s="2"/>
      <c r="L82" s="2"/>
      <c r="M82" s="2"/>
      <c r="N82" s="2">
        <v>2.75</v>
      </c>
      <c r="O82" s="2"/>
      <c r="P82" s="2"/>
      <c r="Q82" s="2" t="e">
        <f t="shared" si="6"/>
        <v>#NUM!</v>
      </c>
      <c r="R82" s="2" t="e">
        <f t="shared" si="7"/>
        <v>#NUM!</v>
      </c>
      <c r="S82" s="2" t="e">
        <f t="shared" si="8"/>
        <v>#NUM!</v>
      </c>
      <c r="T82" s="2"/>
      <c r="U82" s="2"/>
      <c r="V82" s="2"/>
      <c r="W82" s="2"/>
      <c r="X82" s="2"/>
      <c r="Y82" s="2"/>
      <c r="Z82" s="2"/>
    </row>
    <row r="83" spans="1:26" x14ac:dyDescent="0.2">
      <c r="A83" s="2">
        <v>10</v>
      </c>
      <c r="B83" s="2">
        <v>260805</v>
      </c>
      <c r="C83" s="2" t="s">
        <v>34</v>
      </c>
      <c r="D83" s="2" t="s">
        <v>60</v>
      </c>
      <c r="E83" s="2" t="s">
        <v>132</v>
      </c>
      <c r="F83" s="2"/>
      <c r="G83" s="2"/>
      <c r="H83" s="2"/>
      <c r="I83" s="2"/>
      <c r="J83" s="2"/>
      <c r="K83" s="2"/>
      <c r="L83" s="2"/>
      <c r="M83" s="2"/>
      <c r="N83" s="2">
        <v>5.84</v>
      </c>
      <c r="O83" s="2"/>
      <c r="P83" s="2"/>
      <c r="Q83" s="2" t="e">
        <f t="shared" si="6"/>
        <v>#NUM!</v>
      </c>
      <c r="R83" s="2" t="e">
        <f t="shared" si="7"/>
        <v>#NUM!</v>
      </c>
      <c r="S83" s="2" t="e">
        <f t="shared" si="8"/>
        <v>#NUM!</v>
      </c>
      <c r="T83" s="2"/>
      <c r="U83" s="2"/>
      <c r="V83" s="2"/>
      <c r="W83" s="2"/>
      <c r="X83" s="2"/>
      <c r="Y83" s="2"/>
      <c r="Z83" s="2"/>
    </row>
    <row r="84" spans="1:26" x14ac:dyDescent="0.2">
      <c r="A84" s="2">
        <v>10</v>
      </c>
      <c r="B84" s="2">
        <v>260805</v>
      </c>
      <c r="C84" s="2" t="s">
        <v>85</v>
      </c>
      <c r="D84" s="2" t="s">
        <v>60</v>
      </c>
      <c r="E84" s="2" t="s">
        <v>133</v>
      </c>
      <c r="F84" s="2"/>
      <c r="G84" s="2"/>
      <c r="H84" s="2"/>
      <c r="I84" s="2"/>
      <c r="J84" s="2"/>
      <c r="K84" s="2"/>
      <c r="L84" s="2"/>
      <c r="M84" s="2"/>
      <c r="N84" s="2">
        <v>8.9499999999999993</v>
      </c>
      <c r="O84" s="2"/>
      <c r="P84" s="2"/>
      <c r="Q84" s="2" t="e">
        <f t="shared" si="6"/>
        <v>#NUM!</v>
      </c>
      <c r="R84" s="2" t="e">
        <f t="shared" si="7"/>
        <v>#NUM!</v>
      </c>
      <c r="S84" s="2" t="e">
        <f t="shared" si="8"/>
        <v>#NUM!</v>
      </c>
      <c r="T84" s="2"/>
      <c r="U84" s="2"/>
      <c r="V84" s="2"/>
      <c r="W84" s="2"/>
      <c r="X84" s="2"/>
      <c r="Y84" s="2"/>
      <c r="Z84" s="2"/>
    </row>
    <row r="85" spans="1:26" x14ac:dyDescent="0.2">
      <c r="A85" s="2">
        <v>11</v>
      </c>
      <c r="B85" s="2">
        <v>260811</v>
      </c>
      <c r="C85" s="2" t="s">
        <v>36</v>
      </c>
      <c r="D85" s="2" t="s">
        <v>60</v>
      </c>
      <c r="E85" s="2" t="s">
        <v>134</v>
      </c>
      <c r="F85" s="2"/>
      <c r="G85" s="2"/>
      <c r="H85" s="2"/>
      <c r="I85" s="2"/>
      <c r="J85" s="2"/>
      <c r="K85" s="2"/>
      <c r="L85" s="2"/>
      <c r="M85" s="2"/>
      <c r="N85" s="2">
        <v>6.71</v>
      </c>
      <c r="O85" s="2"/>
      <c r="P85" s="2"/>
      <c r="Q85" s="2" t="e">
        <f t="shared" si="6"/>
        <v>#NUM!</v>
      </c>
      <c r="R85" s="2" t="e">
        <f t="shared" si="7"/>
        <v>#NUM!</v>
      </c>
      <c r="S85" s="2" t="e">
        <f t="shared" si="8"/>
        <v>#NUM!</v>
      </c>
      <c r="T85" s="2"/>
      <c r="U85" s="2"/>
      <c r="V85" s="2"/>
      <c r="W85" s="2"/>
      <c r="X85" s="2"/>
      <c r="Y85" s="2"/>
      <c r="Z85" s="2"/>
    </row>
    <row r="86" spans="1:26" x14ac:dyDescent="0.2">
      <c r="A86" s="2">
        <v>11</v>
      </c>
      <c r="B86" s="2">
        <v>260811</v>
      </c>
      <c r="C86" s="2" t="s">
        <v>19</v>
      </c>
      <c r="D86" s="2" t="s">
        <v>60</v>
      </c>
      <c r="E86" s="2" t="s">
        <v>135</v>
      </c>
      <c r="F86" s="2"/>
      <c r="G86" s="2"/>
      <c r="H86" s="2"/>
      <c r="I86" s="2"/>
      <c r="J86" s="2"/>
      <c r="K86" s="2"/>
      <c r="L86" s="2"/>
      <c r="M86" s="2"/>
      <c r="N86" s="2">
        <v>15.14</v>
      </c>
      <c r="O86" s="2"/>
      <c r="P86" s="2"/>
      <c r="Q86" s="2" t="e">
        <f t="shared" si="6"/>
        <v>#NUM!</v>
      </c>
      <c r="R86" s="2" t="e">
        <f t="shared" si="7"/>
        <v>#NUM!</v>
      </c>
      <c r="S86" s="2" t="e">
        <f t="shared" si="8"/>
        <v>#NUM!</v>
      </c>
      <c r="T86" s="2"/>
      <c r="U86" s="2"/>
      <c r="V86" s="2"/>
      <c r="W86" s="2"/>
      <c r="X86" s="2"/>
      <c r="Y86" s="2"/>
      <c r="Z86" s="2"/>
    </row>
    <row r="87" spans="1:26" x14ac:dyDescent="0.2">
      <c r="A87" s="2">
        <v>11</v>
      </c>
      <c r="B87" s="2">
        <v>260811</v>
      </c>
      <c r="C87" s="2" t="s">
        <v>22</v>
      </c>
      <c r="D87" s="2" t="s">
        <v>60</v>
      </c>
      <c r="E87" s="2" t="s">
        <v>136</v>
      </c>
      <c r="F87" s="2"/>
      <c r="G87" s="2"/>
      <c r="H87" s="2"/>
      <c r="I87" s="2"/>
      <c r="J87" s="2"/>
      <c r="K87" s="2"/>
      <c r="L87" s="2"/>
      <c r="M87" s="2"/>
      <c r="N87" s="2">
        <v>4.28</v>
      </c>
      <c r="O87" s="2"/>
      <c r="P87" s="2"/>
      <c r="Q87" s="2" t="e">
        <f t="shared" si="6"/>
        <v>#NUM!</v>
      </c>
      <c r="R87" s="2" t="e">
        <f t="shared" si="7"/>
        <v>#NUM!</v>
      </c>
      <c r="S87" s="2" t="e">
        <f t="shared" si="8"/>
        <v>#NUM!</v>
      </c>
      <c r="T87" s="2"/>
      <c r="U87" s="2"/>
      <c r="V87" s="2"/>
      <c r="W87" s="2"/>
      <c r="X87" s="2"/>
      <c r="Y87" s="2"/>
      <c r="Z87" s="2"/>
    </row>
    <row r="88" spans="1:26" x14ac:dyDescent="0.2">
      <c r="A88" s="2">
        <v>11</v>
      </c>
      <c r="B88" s="2">
        <v>260811</v>
      </c>
      <c r="C88" s="2" t="s">
        <v>26</v>
      </c>
      <c r="D88" s="2" t="s">
        <v>20</v>
      </c>
      <c r="E88" s="2" t="s">
        <v>137</v>
      </c>
      <c r="F88" s="2"/>
      <c r="G88" s="2"/>
      <c r="H88" s="2"/>
      <c r="I88" s="2"/>
      <c r="J88" s="2"/>
      <c r="K88" s="2"/>
      <c r="L88" s="2"/>
      <c r="M88" s="2"/>
      <c r="N88" s="2">
        <v>2.5099999999999998</v>
      </c>
      <c r="O88" s="2"/>
      <c r="P88" s="2"/>
      <c r="Q88" s="2" t="e">
        <f t="shared" si="6"/>
        <v>#NUM!</v>
      </c>
      <c r="R88" s="2" t="e">
        <f t="shared" si="7"/>
        <v>#NUM!</v>
      </c>
      <c r="S88" s="2" t="e">
        <f t="shared" si="8"/>
        <v>#NUM!</v>
      </c>
      <c r="T88" s="2"/>
      <c r="U88" s="2"/>
      <c r="V88" s="2"/>
      <c r="W88" s="2"/>
      <c r="X88" s="2"/>
      <c r="Y88" s="2"/>
      <c r="Z88" s="2"/>
    </row>
    <row r="89" spans="1:26" x14ac:dyDescent="0.2">
      <c r="A89" s="2">
        <v>11</v>
      </c>
      <c r="B89" s="2">
        <v>260811</v>
      </c>
      <c r="C89" s="2" t="s">
        <v>43</v>
      </c>
      <c r="D89" s="2" t="s">
        <v>20</v>
      </c>
      <c r="E89" s="2" t="s">
        <v>138</v>
      </c>
      <c r="F89" s="2"/>
      <c r="G89" s="2"/>
      <c r="H89" s="2"/>
      <c r="I89" s="2"/>
      <c r="J89" s="2"/>
      <c r="K89" s="2"/>
      <c r="L89" s="2"/>
      <c r="M89" s="2"/>
      <c r="N89" s="2">
        <v>2.4700000000000002</v>
      </c>
      <c r="O89" s="2"/>
      <c r="P89" s="2"/>
      <c r="Q89" s="2" t="e">
        <f t="shared" si="6"/>
        <v>#NUM!</v>
      </c>
      <c r="R89" s="2" t="e">
        <f t="shared" si="7"/>
        <v>#NUM!</v>
      </c>
      <c r="S89" s="2" t="e">
        <f t="shared" si="8"/>
        <v>#NUM!</v>
      </c>
      <c r="T89" s="2"/>
      <c r="U89" s="2"/>
      <c r="V89" s="2"/>
      <c r="W89" s="2"/>
      <c r="X89" s="2"/>
      <c r="Y89" s="2"/>
      <c r="Z89" s="2"/>
    </row>
    <row r="90" spans="1:26" x14ac:dyDescent="0.2">
      <c r="A90" s="2">
        <v>12</v>
      </c>
      <c r="B90" s="2">
        <v>260814</v>
      </c>
      <c r="C90" s="2" t="s">
        <v>45</v>
      </c>
      <c r="D90" s="2" t="s">
        <v>20</v>
      </c>
      <c r="E90" s="2" t="s">
        <v>139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 t="e">
        <f t="shared" si="6"/>
        <v>#NUM!</v>
      </c>
      <c r="R90" s="2" t="e">
        <f t="shared" si="7"/>
        <v>#NUM!</v>
      </c>
      <c r="S90" s="2" t="e">
        <f t="shared" si="8"/>
        <v>#NUM!</v>
      </c>
      <c r="T90" s="2"/>
      <c r="U90" s="2"/>
      <c r="V90" s="2"/>
      <c r="W90" s="2"/>
      <c r="X90" s="2"/>
      <c r="Y90" s="2"/>
      <c r="Z90" s="2"/>
    </row>
    <row r="91" spans="1:26" x14ac:dyDescent="0.2">
      <c r="A91" s="2">
        <v>12</v>
      </c>
      <c r="B91" s="2">
        <v>260814</v>
      </c>
      <c r="C91" s="2" t="s">
        <v>47</v>
      </c>
      <c r="D91" s="2" t="s">
        <v>20</v>
      </c>
      <c r="E91" s="2" t="s">
        <v>140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 t="e">
        <f t="shared" si="6"/>
        <v>#NUM!</v>
      </c>
      <c r="R91" s="2" t="e">
        <f t="shared" si="7"/>
        <v>#NUM!</v>
      </c>
      <c r="S91" s="2" t="e">
        <f t="shared" si="8"/>
        <v>#NUM!</v>
      </c>
      <c r="T91" s="2"/>
      <c r="U91" s="2"/>
      <c r="V91" s="2"/>
      <c r="W91" s="2"/>
      <c r="X91" s="2"/>
      <c r="Y91" s="2"/>
      <c r="Z91" s="2"/>
    </row>
    <row r="92" spans="1:26" x14ac:dyDescent="0.2">
      <c r="A92" s="2">
        <v>12</v>
      </c>
      <c r="B92" s="2">
        <v>260814</v>
      </c>
      <c r="C92" s="2" t="s">
        <v>49</v>
      </c>
      <c r="D92" s="2" t="s">
        <v>20</v>
      </c>
      <c r="E92" s="2" t="s">
        <v>141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 t="e">
        <f t="shared" si="6"/>
        <v>#NUM!</v>
      </c>
      <c r="R92" s="2" t="e">
        <f t="shared" si="7"/>
        <v>#NUM!</v>
      </c>
      <c r="S92" s="2" t="e">
        <f t="shared" si="8"/>
        <v>#NUM!</v>
      </c>
      <c r="T92" s="2"/>
      <c r="U92" s="2"/>
      <c r="V92" s="2"/>
      <c r="W92" s="2"/>
      <c r="X92" s="2"/>
      <c r="Y92" s="2"/>
      <c r="Z92" s="2"/>
    </row>
    <row r="93" spans="1:26" x14ac:dyDescent="0.2">
      <c r="A93" s="2">
        <v>12</v>
      </c>
      <c r="B93" s="2">
        <v>260814</v>
      </c>
      <c r="C93" s="2" t="s">
        <v>51</v>
      </c>
      <c r="D93" s="2" t="s">
        <v>20</v>
      </c>
      <c r="E93" s="2" t="s">
        <v>142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 t="e">
        <f t="shared" si="6"/>
        <v>#NUM!</v>
      </c>
      <c r="R93" s="2" t="e">
        <f t="shared" si="7"/>
        <v>#NUM!</v>
      </c>
      <c r="S93" s="2" t="e">
        <f t="shared" si="8"/>
        <v>#NUM!</v>
      </c>
      <c r="T93" s="2"/>
      <c r="U93" s="2"/>
      <c r="V93" s="2"/>
      <c r="W93" s="2"/>
      <c r="X93" s="2"/>
      <c r="Y93" s="2"/>
      <c r="Z93" s="2"/>
    </row>
    <row r="94" spans="1:26" x14ac:dyDescent="0.2">
      <c r="A94" s="2">
        <v>12</v>
      </c>
      <c r="B94" s="2">
        <v>260814</v>
      </c>
      <c r="C94" s="2" t="s">
        <v>53</v>
      </c>
      <c r="D94" s="2" t="s">
        <v>20</v>
      </c>
      <c r="E94" s="2" t="s">
        <v>143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 t="e">
        <f t="shared" si="6"/>
        <v>#NUM!</v>
      </c>
      <c r="R94" s="2" t="e">
        <f t="shared" si="7"/>
        <v>#NUM!</v>
      </c>
      <c r="S94" s="2" t="e">
        <f t="shared" si="8"/>
        <v>#NUM!</v>
      </c>
      <c r="T94" s="2"/>
      <c r="U94" s="2"/>
      <c r="V94" s="2"/>
      <c r="W94" s="2"/>
      <c r="X94" s="2"/>
      <c r="Y94" s="2"/>
      <c r="Z94" s="2"/>
    </row>
    <row r="95" spans="1:26" x14ac:dyDescent="0.2">
      <c r="A95" s="2">
        <v>12</v>
      </c>
      <c r="B95" s="2">
        <v>260814</v>
      </c>
      <c r="C95" s="2" t="s">
        <v>85</v>
      </c>
      <c r="D95" s="2" t="s">
        <v>20</v>
      </c>
      <c r="E95" s="2" t="s">
        <v>144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 t="e">
        <f t="shared" si="6"/>
        <v>#NUM!</v>
      </c>
      <c r="R95" s="2" t="e">
        <f t="shared" si="7"/>
        <v>#NUM!</v>
      </c>
      <c r="S95" s="2" t="e">
        <f t="shared" si="8"/>
        <v>#NUM!</v>
      </c>
      <c r="T95" s="2"/>
      <c r="U95" s="2"/>
      <c r="V95" s="2"/>
      <c r="W95" s="2"/>
      <c r="X95" s="2"/>
      <c r="Y95" s="2"/>
      <c r="Z95" s="2"/>
    </row>
    <row r="96" spans="1:26" x14ac:dyDescent="0.2">
      <c r="A96" s="2">
        <v>12</v>
      </c>
      <c r="B96" s="2">
        <v>260814</v>
      </c>
      <c r="C96" s="2" t="s">
        <v>36</v>
      </c>
      <c r="D96" s="2" t="s">
        <v>20</v>
      </c>
      <c r="E96" s="2" t="s">
        <v>145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 t="e">
        <f t="shared" si="6"/>
        <v>#NUM!</v>
      </c>
      <c r="R96" s="2" t="e">
        <f t="shared" si="7"/>
        <v>#NUM!</v>
      </c>
      <c r="S96" s="2" t="e">
        <f t="shared" si="8"/>
        <v>#NUM!</v>
      </c>
      <c r="T96" s="2"/>
      <c r="U96" s="2"/>
      <c r="V96" s="2"/>
      <c r="W96" s="2"/>
      <c r="X96" s="2"/>
      <c r="Y96" s="2"/>
      <c r="Z96" s="2"/>
    </row>
    <row r="97" spans="1:26" x14ac:dyDescent="0.2">
      <c r="A97" s="2">
        <v>13</v>
      </c>
      <c r="B97" s="2">
        <v>260828</v>
      </c>
      <c r="C97" s="2" t="s">
        <v>34</v>
      </c>
      <c r="D97" s="2" t="s">
        <v>20</v>
      </c>
      <c r="E97" s="2" t="s">
        <v>146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 t="e">
        <f t="shared" si="6"/>
        <v>#NUM!</v>
      </c>
      <c r="R97" s="2" t="e">
        <f t="shared" si="7"/>
        <v>#NUM!</v>
      </c>
      <c r="S97" s="2" t="e">
        <f t="shared" si="8"/>
        <v>#NUM!</v>
      </c>
      <c r="T97" s="2"/>
      <c r="U97" s="2"/>
      <c r="V97" s="2"/>
      <c r="W97" s="2"/>
      <c r="X97" s="2"/>
      <c r="Y97" s="2"/>
      <c r="Z97" s="2"/>
    </row>
    <row r="98" spans="1:26" x14ac:dyDescent="0.2">
      <c r="A98" s="2">
        <v>13</v>
      </c>
      <c r="B98" s="2">
        <v>260828</v>
      </c>
      <c r="C98" s="2" t="s">
        <v>32</v>
      </c>
      <c r="D98" s="2" t="s">
        <v>20</v>
      </c>
      <c r="E98" s="2" t="s">
        <v>147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 t="e">
        <f t="shared" ref="Q98:Q103" si="9">((F98- 0.00793) / 0.1333)^(1/0.6199)</f>
        <v>#NUM!</v>
      </c>
      <c r="R98" s="2" t="e">
        <f t="shared" ref="R98:R103" si="10">((H98- 0.0166) / 0.0825)^(1/0.6529)</f>
        <v>#NUM!</v>
      </c>
      <c r="S98" s="2" t="e">
        <f t="shared" ref="S98:S103" si="11">((J98- 0.06053) / 0.0561)^(1/0.507)</f>
        <v>#NUM!</v>
      </c>
      <c r="T98" s="2"/>
      <c r="U98" s="2"/>
      <c r="V98" s="2"/>
      <c r="W98" s="2"/>
      <c r="X98" s="2"/>
      <c r="Y98" s="2"/>
      <c r="Z98" s="2"/>
    </row>
    <row r="99" spans="1:26" x14ac:dyDescent="0.2">
      <c r="A99" s="2">
        <v>13</v>
      </c>
      <c r="B99" s="2">
        <v>260828</v>
      </c>
      <c r="C99" s="2" t="s">
        <v>43</v>
      </c>
      <c r="D99" s="2" t="s">
        <v>20</v>
      </c>
      <c r="E99" s="2" t="s">
        <v>148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 t="e">
        <f t="shared" si="9"/>
        <v>#NUM!</v>
      </c>
      <c r="R99" s="2" t="e">
        <f t="shared" si="10"/>
        <v>#NUM!</v>
      </c>
      <c r="S99" s="2" t="e">
        <f t="shared" si="11"/>
        <v>#NUM!</v>
      </c>
      <c r="T99" s="2"/>
      <c r="U99" s="2"/>
      <c r="V99" s="2"/>
      <c r="W99" s="2"/>
      <c r="X99" s="2"/>
      <c r="Y99" s="2"/>
      <c r="Z99" s="2"/>
    </row>
    <row r="100" spans="1:26" x14ac:dyDescent="0.2">
      <c r="A100" s="2">
        <v>13</v>
      </c>
      <c r="B100" s="2">
        <v>260828</v>
      </c>
      <c r="C100" s="2" t="s">
        <v>26</v>
      </c>
      <c r="D100" s="2" t="s">
        <v>20</v>
      </c>
      <c r="E100" s="2" t="s">
        <v>149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 t="e">
        <f t="shared" si="9"/>
        <v>#NUM!</v>
      </c>
      <c r="R100" s="2" t="e">
        <f t="shared" si="10"/>
        <v>#NUM!</v>
      </c>
      <c r="S100" s="2" t="e">
        <f t="shared" si="11"/>
        <v>#NUM!</v>
      </c>
      <c r="T100" s="2"/>
      <c r="U100" s="2"/>
      <c r="V100" s="2"/>
      <c r="W100" s="2"/>
      <c r="X100" s="2"/>
      <c r="Y100" s="2"/>
      <c r="Z100" s="2"/>
    </row>
    <row r="101" spans="1:26" x14ac:dyDescent="0.2">
      <c r="A101" s="2">
        <v>13</v>
      </c>
      <c r="B101" s="2">
        <v>260828</v>
      </c>
      <c r="C101" s="2" t="s">
        <v>24</v>
      </c>
      <c r="D101" s="2" t="s">
        <v>20</v>
      </c>
      <c r="E101" s="2" t="s">
        <v>150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 t="e">
        <f t="shared" si="9"/>
        <v>#NUM!</v>
      </c>
      <c r="R101" s="2" t="e">
        <f t="shared" si="10"/>
        <v>#NUM!</v>
      </c>
      <c r="S101" s="2" t="e">
        <f t="shared" si="11"/>
        <v>#NUM!</v>
      </c>
      <c r="T101" s="2"/>
      <c r="U101" s="2"/>
      <c r="V101" s="2"/>
      <c r="W101" s="2"/>
      <c r="X101" s="2"/>
      <c r="Y101" s="2"/>
      <c r="Z101" s="2"/>
    </row>
    <row r="102" spans="1:26" x14ac:dyDescent="0.2">
      <c r="A102" s="2">
        <v>13</v>
      </c>
      <c r="B102" s="2">
        <v>260828</v>
      </c>
      <c r="C102" s="2" t="s">
        <v>22</v>
      </c>
      <c r="D102" s="2" t="s">
        <v>20</v>
      </c>
      <c r="E102" s="2" t="s">
        <v>151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 t="e">
        <f t="shared" si="9"/>
        <v>#NUM!</v>
      </c>
      <c r="R102" s="2" t="e">
        <f t="shared" si="10"/>
        <v>#NUM!</v>
      </c>
      <c r="S102" s="2" t="e">
        <f t="shared" si="11"/>
        <v>#NUM!</v>
      </c>
      <c r="T102" s="2"/>
      <c r="U102" s="2"/>
      <c r="V102" s="2"/>
      <c r="W102" s="2"/>
      <c r="X102" s="2"/>
      <c r="Y102" s="2"/>
      <c r="Z102" s="2"/>
    </row>
    <row r="103" spans="1:26" x14ac:dyDescent="0.2">
      <c r="A103" s="2">
        <v>13</v>
      </c>
      <c r="B103" s="2">
        <v>260828</v>
      </c>
      <c r="C103" s="2" t="s">
        <v>19</v>
      </c>
      <c r="D103" s="2" t="s">
        <v>20</v>
      </c>
      <c r="E103" s="2" t="s">
        <v>152</v>
      </c>
      <c r="F103" s="2">
        <v>0.9881237177292399</v>
      </c>
      <c r="G103" s="2">
        <v>0.97707464518473142</v>
      </c>
      <c r="H103" s="2">
        <v>0.98036979464155438</v>
      </c>
      <c r="I103" s="2">
        <v>0.99253514105934948</v>
      </c>
      <c r="J103" s="2">
        <v>0.99489545581608585</v>
      </c>
      <c r="K103" s="2">
        <v>0.99422337204620626</v>
      </c>
      <c r="L103" s="2">
        <v>0.99441578556012034</v>
      </c>
      <c r="M103" s="2">
        <v>0.99434887886524825</v>
      </c>
      <c r="N103" s="2"/>
      <c r="O103" s="2"/>
      <c r="P103" s="2"/>
      <c r="Q103" s="2">
        <f t="shared" si="9"/>
        <v>24.990599939228897</v>
      </c>
      <c r="R103" s="2">
        <f t="shared" si="10"/>
        <v>43.156148113963241</v>
      </c>
      <c r="S103" s="2">
        <f t="shared" si="11"/>
        <v>256.6708527538886</v>
      </c>
      <c r="T103" s="2"/>
      <c r="U103" s="2"/>
      <c r="V103" s="2"/>
      <c r="W103" s="2"/>
      <c r="X103" s="2"/>
      <c r="Y103" s="2"/>
      <c r="Z103" s="2"/>
    </row>
    <row r="104" spans="1:26" x14ac:dyDescent="0.2"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Kd</vt:lpstr>
      <vt:lpstr>MLR</vt:lpstr>
      <vt:lpstr>C 2</vt:lpstr>
      <vt:lpstr>C 2+3</vt:lpstr>
      <vt:lpstr>C 2,3,6,7</vt:lpstr>
      <vt:lpstr>C RIVER</vt:lpstr>
      <vt:lpstr>C EST</vt:lpstr>
      <vt:lpstr>Kd-R2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Morales, Diego Eraldo</cp:lastModifiedBy>
  <dcterms:created xsi:type="dcterms:W3CDTF">2026-09-23T22:38:39Z</dcterms:created>
  <dcterms:modified xsi:type="dcterms:W3CDTF">2026-10-07T18:32:49Z</dcterms:modified>
</cp:coreProperties>
</file>