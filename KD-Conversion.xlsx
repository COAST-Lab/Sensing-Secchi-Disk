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uncw4-my.sharepoint.com/personal/dem5075_uncw_edu/Documents/SSD/src/"/>
    </mc:Choice>
  </mc:AlternateContent>
  <xr:revisionPtr revIDLastSave="262" documentId="11_5F2E2D4DBF529D9468A3BBF1A46D30E6217C216B" xr6:coauthVersionLast="47" xr6:coauthVersionMax="47" xr10:uidLastSave="{7A7DE75F-FFD6-A147-A851-75251FB5CD53}"/>
  <bookViews>
    <workbookView xWindow="0" yWindow="680" windowWidth="30240" windowHeight="18960" activeTab="1" xr2:uid="{00000000-000D-0000-FFFF-FFFF00000000}"/>
  </bookViews>
  <sheets>
    <sheet name="Kd" sheetId="1" r:id="rId1"/>
    <sheet name="MLR" sheetId="2" r:id="rId2"/>
    <sheet name="C 2" sheetId="3" r:id="rId3"/>
    <sheet name="C 2+3" sheetId="4" r:id="rId4"/>
    <sheet name="C 2,3,6,7" sheetId="5" r:id="rId5"/>
    <sheet name="C RIVER" sheetId="6" r:id="rId6"/>
    <sheet name="C E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4" i="1" l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  <c r="S4" i="1"/>
  <c r="R4" i="1"/>
  <c r="Q4" i="1"/>
  <c r="S3" i="1"/>
  <c r="R3" i="1"/>
  <c r="Q3" i="1"/>
  <c r="S2" i="1"/>
  <c r="R2" i="1"/>
  <c r="Q2" i="1"/>
</calcChain>
</file>

<file path=xl/sharedStrings.xml><?xml version="1.0" encoding="utf-8"?>
<sst xmlns="http://schemas.openxmlformats.org/spreadsheetml/2006/main" count="677" uniqueCount="202">
  <si>
    <t>Cruise_#</t>
  </si>
  <si>
    <t>Date</t>
  </si>
  <si>
    <t>Station</t>
  </si>
  <si>
    <t>SSD_ID</t>
  </si>
  <si>
    <t>Filename</t>
  </si>
  <si>
    <t>415nm</t>
  </si>
  <si>
    <t>445nm</t>
  </si>
  <si>
    <t>480nm</t>
  </si>
  <si>
    <t>515nm</t>
  </si>
  <si>
    <t>555nm</t>
  </si>
  <si>
    <t>590nm</t>
  </si>
  <si>
    <t>630nm</t>
  </si>
  <si>
    <t>680nm</t>
  </si>
  <si>
    <t>µg Chl a/L, direct</t>
  </si>
  <si>
    <t>EXO2s</t>
  </si>
  <si>
    <t>DE</t>
  </si>
  <si>
    <t>Xing 412</t>
  </si>
  <si>
    <t>Xing 490</t>
  </si>
  <si>
    <t>Xing 555</t>
  </si>
  <si>
    <t>NC11</t>
  </si>
  <si>
    <t>A016</t>
  </si>
  <si>
    <t>260527-01(NC11)-A016.txt</t>
  </si>
  <si>
    <t>ACME</t>
  </si>
  <si>
    <t>260527-02(ACME)-A016.txt</t>
  </si>
  <si>
    <t>DP</t>
  </si>
  <si>
    <t>260527-03(DP)-A016.txt</t>
  </si>
  <si>
    <t>BBT</t>
  </si>
  <si>
    <t>260527-04(BBT)-A016.txt</t>
  </si>
  <si>
    <t>IC-1</t>
  </si>
  <si>
    <t>260527-05(IC-1)-A016.txt</t>
  </si>
  <si>
    <t>IC-2</t>
  </si>
  <si>
    <t>260527-05(IC-2)-A016.txt</t>
  </si>
  <si>
    <t>NAV</t>
  </si>
  <si>
    <t>260527-06(NAV)-A016.txt</t>
  </si>
  <si>
    <t>HB</t>
  </si>
  <si>
    <t>260527-07(HB)-A016.txt</t>
  </si>
  <si>
    <t>NCF6</t>
  </si>
  <si>
    <t>260527-08(NCF6)-A016.txt</t>
  </si>
  <si>
    <t>260603-01(NCF6)-A016.txt</t>
  </si>
  <si>
    <t>260603-02(NC11)-A016.txt</t>
  </si>
  <si>
    <t>260603-03(ACME)-A016.txt</t>
  </si>
  <si>
    <t>260603-04(DP)-A016.txt</t>
  </si>
  <si>
    <t>260603-05(BBT)-A016.txt</t>
  </si>
  <si>
    <t>IC</t>
  </si>
  <si>
    <t>260603-06(IC)-A016.txt</t>
  </si>
  <si>
    <t>M18</t>
  </si>
  <si>
    <t>260610-01(M18)-A016.txt</t>
  </si>
  <si>
    <t>M23</t>
  </si>
  <si>
    <t>260610-02(M23)-A016.txt</t>
  </si>
  <si>
    <t>M35</t>
  </si>
  <si>
    <t>260610-03(M35)-A016.txt</t>
  </si>
  <si>
    <t>M54</t>
  </si>
  <si>
    <t>260610-04(M54)-A016.txt</t>
  </si>
  <si>
    <t>BRR</t>
  </si>
  <si>
    <t>260610-05(BRR)-A016.txt</t>
  </si>
  <si>
    <t>260610-06(NAV)-A016.txt</t>
  </si>
  <si>
    <t>260610-07(HB)-A016.txt</t>
  </si>
  <si>
    <t>260618-01(NC11)-A016.txt</t>
  </si>
  <si>
    <t>A017</t>
  </si>
  <si>
    <t>260618-01(NC11)-A017.txt</t>
  </si>
  <si>
    <t>260618-02(ACME)-A016.txt</t>
  </si>
  <si>
    <t>260618-02(ACME)-A017.txt</t>
  </si>
  <si>
    <t>260618-03(DP)-A016.txt</t>
  </si>
  <si>
    <t>260618-03(DP)-A017.txt</t>
  </si>
  <si>
    <t>260618-04(BBT)-A016.txt</t>
  </si>
  <si>
    <t>260618-04(BBT)-A017.txt</t>
  </si>
  <si>
    <t>260618-05(IC)-A016.txt</t>
  </si>
  <si>
    <t>260618-05(IC)-A017.txt</t>
  </si>
  <si>
    <t>260618-06(NCF6)-A016.txt</t>
  </si>
  <si>
    <t>260618-06(NCF6)-A017.txt</t>
  </si>
  <si>
    <t>260625-01(M18)-A017.txt</t>
  </si>
  <si>
    <t>260625-02(M23)-A017.txt</t>
  </si>
  <si>
    <t>260625-03(M35)-A017.txt</t>
  </si>
  <si>
    <t>260625-04(M54)-A017.txt</t>
  </si>
  <si>
    <t>260625-05(BRR)-A017.txt</t>
  </si>
  <si>
    <t>M61</t>
  </si>
  <si>
    <t>260625-06(M61)-A017.txt</t>
  </si>
  <si>
    <t>260625-07(HB)-A017.txt</t>
  </si>
  <si>
    <t>260625-08(NAV)-A017.txt</t>
  </si>
  <si>
    <t>260702-01(M18)-A017.txt</t>
  </si>
  <si>
    <t>M23-1</t>
  </si>
  <si>
    <t>260702-02(M23-1)-A017.txt</t>
  </si>
  <si>
    <t>M23-2</t>
  </si>
  <si>
    <t>260702-02(M23-2)-A017.txt</t>
  </si>
  <si>
    <t>260702-03(M35)-A017.txt</t>
  </si>
  <si>
    <t>260702-04(M54)-A017.txt</t>
  </si>
  <si>
    <t>260702-05(BRR)-A017.txt</t>
  </si>
  <si>
    <t>260702-06(M61)-A017.txt</t>
  </si>
  <si>
    <t>260702-07(HB)-A017.txt</t>
  </si>
  <si>
    <t>260702-08(NAV)-A017.txt</t>
  </si>
  <si>
    <t>260709-01(NCF6)-A017.txt</t>
  </si>
  <si>
    <t>260709-02(NC11)-A017.txt</t>
  </si>
  <si>
    <t>260709-03(ACME)-A017.txt</t>
  </si>
  <si>
    <t>260709-04(DP)-A017.txt</t>
  </si>
  <si>
    <t>BBT-1</t>
  </si>
  <si>
    <t>260709-05(BBT-1)-A017.txt</t>
  </si>
  <si>
    <t>BBT-2</t>
  </si>
  <si>
    <t>260709-05(BBT-2)-A017.txt</t>
  </si>
  <si>
    <t>260709-06(IC)-A017.txt</t>
  </si>
  <si>
    <t>260716-01(M18)-A017.txt</t>
  </si>
  <si>
    <t>260716-02(M23)-A017.txt</t>
  </si>
  <si>
    <t>260716-03(M35)-A017.txt</t>
  </si>
  <si>
    <t>260716-04(M54)-A017.txt</t>
  </si>
  <si>
    <t>260716-05(BRR)-A017.txt</t>
  </si>
  <si>
    <t>260716-06(M61)-A017.txt</t>
  </si>
  <si>
    <t>260716-07(NCF6)-A017.txt</t>
  </si>
  <si>
    <t>260728-01(NC11)-A017.txt</t>
  </si>
  <si>
    <t>ACME-1</t>
  </si>
  <si>
    <t>260728-02(ACME-1)-A017.txt</t>
  </si>
  <si>
    <t>ACME-2</t>
  </si>
  <si>
    <t>260728-02(ACME-2)-A017.txt</t>
  </si>
  <si>
    <t>260728-03(DP)-A017.txt</t>
  </si>
  <si>
    <t>260728-04(BBT)-A017.txt</t>
  </si>
  <si>
    <t>260728-05(IC)-A017.txt</t>
  </si>
  <si>
    <t>NAV-1</t>
  </si>
  <si>
    <t>260728-06(NAV-1)-A017.txt</t>
  </si>
  <si>
    <t>NAV-2</t>
  </si>
  <si>
    <t>260728-01(NAV-2)-A017.txt</t>
  </si>
  <si>
    <t>260728-07(HB)-A017.txt</t>
  </si>
  <si>
    <t>260805-01(M18)-A017.txt</t>
  </si>
  <si>
    <t>260805-02(M23)-A017.txt</t>
  </si>
  <si>
    <t>260805-03(M35)-A017.txt</t>
  </si>
  <si>
    <t>260805-04(M54)-A017.txt</t>
  </si>
  <si>
    <t>260805-05(BRR)-A017.txt</t>
  </si>
  <si>
    <t>260805-06(NAV-1)-A017.txt</t>
  </si>
  <si>
    <t>260805-06(NAV-2)-A017.txt</t>
  </si>
  <si>
    <t>260805-07(HB)-A017.txt</t>
  </si>
  <si>
    <t>260805-08(M61)-A017.txt</t>
  </si>
  <si>
    <t>260811-01(NCF6)-A017.txt</t>
  </si>
  <si>
    <t>260811-02(NC11)-A017.txt</t>
  </si>
  <si>
    <t>260811-03(ACME)-A017.txt</t>
  </si>
  <si>
    <t>260811-04(DP)-A017.txt</t>
  </si>
  <si>
    <t>260811-05(BBT)-A016.txt</t>
  </si>
  <si>
    <t>260811-06(IC)-A016.txt</t>
  </si>
  <si>
    <t>260814-01(M18)-A016.txt</t>
  </si>
  <si>
    <t>260814-02(M23)-A016.txt</t>
  </si>
  <si>
    <t>260814-03(M35)-A016.txt</t>
  </si>
  <si>
    <t>260814-04(M54)-A016.txt</t>
  </si>
  <si>
    <t>260814-05(BRR)-A016.txt</t>
  </si>
  <si>
    <t>260814-06(M61)-A016.txt</t>
  </si>
  <si>
    <t>260814-07(NCF6)-A016.txt</t>
  </si>
  <si>
    <t>260828-01(HB)-A016.txt</t>
  </si>
  <si>
    <t>260828-02(NAV)-A016.txt</t>
  </si>
  <si>
    <t>260828-03(IC)-A016.txt</t>
  </si>
  <si>
    <t>260828-04(BBT)-A016.txt</t>
  </si>
  <si>
    <t>260828-05(DP)-A016.txt</t>
  </si>
  <si>
    <t>260828-06(ACME)-A016.txt</t>
  </si>
  <si>
    <t>260828-07(NC11)-A016.txt</t>
  </si>
  <si>
    <t>NC11-1</t>
  </si>
  <si>
    <t>260618-01(NC11-1)-A016.txt</t>
  </si>
  <si>
    <t>NC11-2</t>
  </si>
  <si>
    <t>260618-01(NC11-2)-A017.txt</t>
  </si>
  <si>
    <t>260618-02(ACME-1)-A016.txt</t>
  </si>
  <si>
    <t>260618-02(ACME-2)-A017.txt</t>
  </si>
  <si>
    <t>DP-1</t>
  </si>
  <si>
    <t>260618-03(DP-1)-A016.txt</t>
  </si>
  <si>
    <t>DP-2</t>
  </si>
  <si>
    <t>260618-03(DP-2)-A017.txt</t>
  </si>
  <si>
    <t>260618-04(BBT-1)-A016.txt</t>
  </si>
  <si>
    <t>260618-04(BBT-2)-A017.txt</t>
  </si>
  <si>
    <t>260618-05(IC-1)-A016.txt</t>
  </si>
  <si>
    <t>260618-05(IC-2)-A017.txt</t>
  </si>
  <si>
    <t>NCF6-1</t>
  </si>
  <si>
    <t>260618-06(NCF6-1)-A016.txt</t>
  </si>
  <si>
    <t>NCF6-2</t>
  </si>
  <si>
    <t>260618-06(NCF6-2)-A017.txt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</si>
  <si>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</si>
  <si>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</si>
  <si>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</si>
  <si>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</si>
  <si>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</si>
  <si>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</si>
  <si>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</si>
  <si>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</si>
  <si>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</si>
  <si>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</si>
  <si>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</si>
  <si>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</si>
  <si>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</si>
  <si>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</si>
  <si>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</si>
  <si>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</si>
  <si>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</si>
  <si>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</si>
  <si>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</si>
  <si>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</si>
  <si>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</si>
  <si>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</si>
  <si>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</si>
  <si>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</si>
  <si>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C</t>
  </si>
  <si>
    <t>Notes</t>
  </si>
  <si>
    <t>415 = 0.949</t>
  </si>
  <si>
    <t>680 = 0.948</t>
  </si>
  <si>
    <t>680 - 0.944</t>
  </si>
  <si>
    <t>590: &lt; 0.95</t>
  </si>
  <si>
    <t>415 and 445: &lt; 0.95</t>
  </si>
  <si>
    <t>555 and 590 &lt; 0.95</t>
  </si>
  <si>
    <t>555, 590, and 630 &lt; 0.95</t>
  </si>
  <si>
    <t>445 - 630 &lt; 0.95</t>
  </si>
  <si>
    <t>480 &lt; 0.95</t>
  </si>
  <si>
    <t>All bands except 445 &lt; 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</si>
</sst>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9"/>
  <sheetViews>
    <sheetView topLeftCell="A33" workbookViewId="0">
      <selection activeCell="A44" sqref="A44:N59"/>
    </sheetView>
  </sheetViews>
  <sheetFormatPr baseColWidth="10" defaultColWidth="8.83203125" defaultRowHeight="15" x14ac:dyDescent="0.2"/>
  <cols>
    <col min="5" max="5" width="25.5" customWidth="1"/>
    <col min="14" max="14" width="16.6640625" customWidth="1"/>
    <col min="17" max="17" width="10.1640625" customWidth="1"/>
    <col min="18" max="18" width="10.33203125" customWidth="1"/>
    <col min="19" max="19" width="10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2"/>
      <c r="Z1" s="2"/>
    </row>
    <row r="2" spans="1:26" x14ac:dyDescent="0.2">
      <c r="A2" s="2">
        <v>1</v>
      </c>
      <c r="B2" s="2">
        <v>260527</v>
      </c>
      <c r="C2" s="2" t="s">
        <v>19</v>
      </c>
      <c r="D2" s="2" t="s">
        <v>20</v>
      </c>
      <c r="E2" s="2" t="s">
        <v>21</v>
      </c>
      <c r="F2" s="2">
        <v>2.439115280894649</v>
      </c>
      <c r="G2" s="2">
        <v>2.7572841208370611</v>
      </c>
      <c r="H2" s="2">
        <v>2.3201383616530271</v>
      </c>
      <c r="I2" s="2">
        <v>1.8575800507356159</v>
      </c>
      <c r="J2" s="2">
        <v>1.4178410719664569</v>
      </c>
      <c r="K2" s="2">
        <v>1.301832134049874</v>
      </c>
      <c r="L2" s="2">
        <v>1.091586994054573</v>
      </c>
      <c r="M2" s="2">
        <v>1.055143577159485</v>
      </c>
      <c r="N2" s="2"/>
      <c r="O2" s="2"/>
      <c r="P2" s="2"/>
      <c r="Q2" s="2">
        <f t="shared" ref="Q2:Q33" si="0">((F2- 0.00793) / 0.1333)^(1/0.6199)</f>
        <v>108.18811612547547</v>
      </c>
      <c r="R2" s="2">
        <f t="shared" ref="R2:R33" si="1">((H2- 0.0166) / 0.0825)^(1/0.6529)</f>
        <v>163.92480025180328</v>
      </c>
      <c r="S2" s="2">
        <f t="shared" ref="S2:S33" si="2">((J2- 0.06053) / 0.0561)^(1/0.507)</f>
        <v>536.07299022401958</v>
      </c>
      <c r="T2" s="2"/>
      <c r="U2" s="2"/>
      <c r="V2" s="2"/>
      <c r="W2" s="2"/>
      <c r="X2" s="2"/>
      <c r="Y2" s="2"/>
      <c r="Z2" s="2"/>
    </row>
    <row r="3" spans="1:26" x14ac:dyDescent="0.2">
      <c r="A3" s="2">
        <v>1</v>
      </c>
      <c r="B3" s="2">
        <v>260527</v>
      </c>
      <c r="C3" s="2" t="s">
        <v>22</v>
      </c>
      <c r="D3" s="2" t="s">
        <v>20</v>
      </c>
      <c r="E3" s="2" t="s">
        <v>23</v>
      </c>
      <c r="F3" s="2">
        <v>2.7270435616109081</v>
      </c>
      <c r="G3" s="2">
        <v>3.114713323189553</v>
      </c>
      <c r="H3" s="2">
        <v>2.893682261777093</v>
      </c>
      <c r="I3" s="2">
        <v>2.380087444463534</v>
      </c>
      <c r="J3" s="2">
        <v>1.9276087448609971</v>
      </c>
      <c r="K3" s="2">
        <v>1.740210751490227</v>
      </c>
      <c r="L3" s="2">
        <v>1.631072115215807</v>
      </c>
      <c r="M3" s="2">
        <v>1.5919758489447231</v>
      </c>
      <c r="N3" s="2"/>
      <c r="O3" s="2"/>
      <c r="P3" s="2"/>
      <c r="Q3" s="2">
        <f t="shared" si="0"/>
        <v>129.5968017004881</v>
      </c>
      <c r="R3" s="2">
        <f t="shared" si="1"/>
        <v>230.42724092313367</v>
      </c>
      <c r="S3" s="2">
        <f t="shared" si="2"/>
        <v>1005.4637496378597</v>
      </c>
      <c r="T3" s="2"/>
      <c r="U3" s="2"/>
      <c r="V3" s="2"/>
      <c r="W3" s="2"/>
      <c r="X3" s="2"/>
      <c r="Y3" s="2"/>
      <c r="Z3" s="2"/>
    </row>
    <row r="4" spans="1:26" x14ac:dyDescent="0.2">
      <c r="A4" s="2">
        <v>1</v>
      </c>
      <c r="B4" s="2">
        <v>260527</v>
      </c>
      <c r="C4" s="2" t="s">
        <v>24</v>
      </c>
      <c r="D4" s="2" t="s">
        <v>20</v>
      </c>
      <c r="E4" s="2" t="s">
        <v>25</v>
      </c>
      <c r="F4" s="2">
        <v>5.8876273916277251</v>
      </c>
      <c r="G4" s="2">
        <v>6.1581514566036946</v>
      </c>
      <c r="H4" s="2">
        <v>5.8040324463604636</v>
      </c>
      <c r="I4" s="2">
        <v>5.1192142161592864</v>
      </c>
      <c r="J4" s="2">
        <v>4.4694114876163056</v>
      </c>
      <c r="K4" s="2">
        <v>4.2031985224316504</v>
      </c>
      <c r="L4" s="2">
        <v>3.8939042070939029</v>
      </c>
      <c r="M4" s="2">
        <v>3.6593101077137868</v>
      </c>
      <c r="N4" s="2"/>
      <c r="O4" s="2"/>
      <c r="P4" s="2"/>
      <c r="Q4" s="2">
        <f t="shared" si="0"/>
        <v>449.66313198935029</v>
      </c>
      <c r="R4" s="2">
        <f t="shared" si="1"/>
        <v>672.10093842193032</v>
      </c>
      <c r="S4" s="2">
        <f t="shared" si="2"/>
        <v>5475.1196801788792</v>
      </c>
      <c r="T4" s="2"/>
      <c r="U4" s="2"/>
      <c r="V4" s="2"/>
      <c r="W4" s="2"/>
      <c r="X4" s="2"/>
      <c r="Y4" s="2"/>
      <c r="Z4" s="2"/>
    </row>
    <row r="5" spans="1:26" x14ac:dyDescent="0.2">
      <c r="A5" s="2">
        <v>1</v>
      </c>
      <c r="B5" s="2">
        <v>260527</v>
      </c>
      <c r="C5" s="2" t="s">
        <v>26</v>
      </c>
      <c r="D5" s="2" t="s">
        <v>20</v>
      </c>
      <c r="E5" s="2" t="s">
        <v>27</v>
      </c>
      <c r="F5" s="2">
        <v>3.8951461846787812</v>
      </c>
      <c r="G5" s="2">
        <v>4.6877558633070713</v>
      </c>
      <c r="H5" s="2">
        <v>3.7295032136105069</v>
      </c>
      <c r="I5" s="2">
        <v>3.0073416408905169</v>
      </c>
      <c r="J5" s="2">
        <v>2.353709853923621</v>
      </c>
      <c r="K5" s="2">
        <v>1.8410783882776329</v>
      </c>
      <c r="L5" s="2">
        <v>1.3702780638660419</v>
      </c>
      <c r="M5" s="2">
        <v>0.91496751341393767</v>
      </c>
      <c r="N5" s="2"/>
      <c r="O5" s="2"/>
      <c r="P5" s="2"/>
      <c r="Q5" s="2">
        <f t="shared" si="0"/>
        <v>230.66173387574213</v>
      </c>
      <c r="R5" s="2">
        <f t="shared" si="1"/>
        <v>340.548535061991</v>
      </c>
      <c r="S5" s="2">
        <f t="shared" si="2"/>
        <v>1508.1765450999419</v>
      </c>
      <c r="T5" s="2"/>
      <c r="U5" s="2"/>
      <c r="V5" s="2"/>
      <c r="W5" s="2"/>
      <c r="X5" s="2"/>
      <c r="Y5" s="2"/>
      <c r="Z5" s="2"/>
    </row>
    <row r="6" spans="1:26" x14ac:dyDescent="0.2">
      <c r="A6" s="2">
        <v>1</v>
      </c>
      <c r="B6" s="2">
        <v>260527</v>
      </c>
      <c r="C6" s="2" t="s">
        <v>28</v>
      </c>
      <c r="D6" s="2" t="s">
        <v>20</v>
      </c>
      <c r="E6" s="2" t="s">
        <v>29</v>
      </c>
      <c r="F6" s="2">
        <v>4.0475827809241283</v>
      </c>
      <c r="G6" s="2">
        <v>4.5333389109285012</v>
      </c>
      <c r="H6" s="2">
        <v>4.1176840590185684</v>
      </c>
      <c r="I6" s="2">
        <v>3.4016970941109852</v>
      </c>
      <c r="J6" s="2">
        <v>2.769776616315935</v>
      </c>
      <c r="K6" s="2">
        <v>2.45778046071923</v>
      </c>
      <c r="L6" s="2">
        <v>2.226937505597383</v>
      </c>
      <c r="M6" s="2">
        <v>2.0307741203455829</v>
      </c>
      <c r="N6" s="2"/>
      <c r="O6" s="2"/>
      <c r="P6" s="2"/>
      <c r="Q6" s="2">
        <f t="shared" si="0"/>
        <v>245.42793962341358</v>
      </c>
      <c r="R6" s="2">
        <f t="shared" si="1"/>
        <v>396.57236030572858</v>
      </c>
      <c r="S6" s="2">
        <f t="shared" si="2"/>
        <v>2095.4317852779463</v>
      </c>
      <c r="T6" s="2"/>
      <c r="U6" s="2"/>
      <c r="V6" s="2"/>
      <c r="W6" s="2"/>
      <c r="X6" s="2"/>
      <c r="Y6" s="2"/>
      <c r="Z6" s="2"/>
    </row>
    <row r="7" spans="1:26" x14ac:dyDescent="0.2">
      <c r="A7" s="2">
        <v>1</v>
      </c>
      <c r="B7" s="2">
        <v>260527</v>
      </c>
      <c r="C7" s="2" t="s">
        <v>30</v>
      </c>
      <c r="D7" s="2" t="s">
        <v>20</v>
      </c>
      <c r="E7" s="2" t="s">
        <v>31</v>
      </c>
      <c r="F7" s="2">
        <v>4.4643791824760282</v>
      </c>
      <c r="G7" s="2">
        <v>5.333367200339052</v>
      </c>
      <c r="H7" s="2">
        <v>5.2478647152955826</v>
      </c>
      <c r="I7" s="2">
        <v>4.4131989854473259</v>
      </c>
      <c r="J7" s="2">
        <v>3.8684232669793812</v>
      </c>
      <c r="K7" s="2">
        <v>3.3691113824311461</v>
      </c>
      <c r="L7" s="2">
        <v>2.9955558610944801</v>
      </c>
      <c r="M7" s="2">
        <v>2.6421613831340141</v>
      </c>
      <c r="N7" s="2"/>
      <c r="O7" s="2"/>
      <c r="P7" s="2"/>
      <c r="Q7" s="2">
        <f t="shared" si="0"/>
        <v>287.55255262669692</v>
      </c>
      <c r="R7" s="2">
        <f t="shared" si="1"/>
        <v>575.7418875599127</v>
      </c>
      <c r="S7" s="2">
        <f t="shared" si="2"/>
        <v>4100.7540184505378</v>
      </c>
      <c r="T7" s="2"/>
      <c r="U7" s="2"/>
      <c r="V7" s="2"/>
      <c r="W7" s="2"/>
      <c r="X7" s="2"/>
      <c r="Y7" s="2"/>
      <c r="Z7" s="2"/>
    </row>
    <row r="8" spans="1:26" x14ac:dyDescent="0.2">
      <c r="A8" s="2">
        <v>1</v>
      </c>
      <c r="B8" s="2">
        <v>260527</v>
      </c>
      <c r="C8" s="2" t="s">
        <v>32</v>
      </c>
      <c r="D8" s="2" t="s">
        <v>20</v>
      </c>
      <c r="E8" s="2" t="s">
        <v>33</v>
      </c>
      <c r="F8" s="2">
        <v>4.8799777882753146</v>
      </c>
      <c r="G8" s="2">
        <v>5.5157752587214972</v>
      </c>
      <c r="H8" s="2">
        <v>5.2092371252636704</v>
      </c>
      <c r="I8" s="2">
        <v>4.4338589333395104</v>
      </c>
      <c r="J8" s="2">
        <v>3.7638976729066491</v>
      </c>
      <c r="K8" s="2">
        <v>3.3879803806122282</v>
      </c>
      <c r="L8" s="2">
        <v>3.0871698517139659</v>
      </c>
      <c r="M8" s="2">
        <v>2.8366036506105998</v>
      </c>
      <c r="N8" s="2"/>
      <c r="O8" s="2"/>
      <c r="P8" s="2"/>
      <c r="Q8" s="2">
        <f t="shared" si="0"/>
        <v>332.0343980770524</v>
      </c>
      <c r="R8" s="2">
        <f t="shared" si="1"/>
        <v>569.24331711489674</v>
      </c>
      <c r="S8" s="2">
        <f t="shared" si="2"/>
        <v>3881.6970458057258</v>
      </c>
      <c r="T8" s="2"/>
      <c r="U8" s="2"/>
      <c r="V8" s="2"/>
      <c r="W8" s="2"/>
      <c r="X8" s="2"/>
      <c r="Y8" s="2"/>
      <c r="Z8" s="2"/>
    </row>
    <row r="9" spans="1:26" x14ac:dyDescent="0.2">
      <c r="A9" s="2">
        <v>1</v>
      </c>
      <c r="B9" s="2">
        <v>260527</v>
      </c>
      <c r="C9" s="2" t="s">
        <v>34</v>
      </c>
      <c r="D9" s="2" t="s">
        <v>20</v>
      </c>
      <c r="E9" s="2" t="s">
        <v>35</v>
      </c>
      <c r="F9" s="2">
        <v>3.9956394121873071</v>
      </c>
      <c r="G9" s="2">
        <v>4.6336684954424134</v>
      </c>
      <c r="H9" s="2">
        <v>4.3614636034636707</v>
      </c>
      <c r="I9" s="2">
        <v>3.6594790017572389</v>
      </c>
      <c r="J9" s="2">
        <v>2.9131804529426781</v>
      </c>
      <c r="K9" s="2">
        <v>2.525398080817586</v>
      </c>
      <c r="L9" s="2">
        <v>2.1600139866479862</v>
      </c>
      <c r="M9" s="2">
        <v>1.854359742845654</v>
      </c>
      <c r="N9" s="2"/>
      <c r="O9" s="2"/>
      <c r="P9" s="2"/>
      <c r="Q9" s="2">
        <f t="shared" si="0"/>
        <v>240.35721364066592</v>
      </c>
      <c r="R9" s="2">
        <f t="shared" si="1"/>
        <v>433.24325503421085</v>
      </c>
      <c r="S9" s="2">
        <f t="shared" si="2"/>
        <v>2319.8239359468844</v>
      </c>
      <c r="T9" s="2"/>
      <c r="U9" s="2"/>
      <c r="V9" s="2"/>
      <c r="W9" s="2"/>
      <c r="X9" s="2"/>
      <c r="Y9" s="2"/>
      <c r="Z9" s="2"/>
    </row>
    <row r="10" spans="1:26" x14ac:dyDescent="0.2">
      <c r="A10" s="2">
        <v>1</v>
      </c>
      <c r="B10" s="2">
        <v>260527</v>
      </c>
      <c r="C10" s="2" t="s">
        <v>36</v>
      </c>
      <c r="D10" s="2" t="s">
        <v>20</v>
      </c>
      <c r="E10" s="2" t="s">
        <v>37</v>
      </c>
      <c r="F10" s="2">
        <v>0.97458115369669562</v>
      </c>
      <c r="G10" s="2">
        <v>1.860478780406398</v>
      </c>
      <c r="H10" s="2">
        <v>1.3315222863353191</v>
      </c>
      <c r="I10" s="2">
        <v>0.63022818595152141</v>
      </c>
      <c r="J10" s="2">
        <v>-0.47443627441852321</v>
      </c>
      <c r="K10" s="2">
        <v>-0.96956348611520771</v>
      </c>
      <c r="L10" s="2">
        <v>-1.3205616261116071</v>
      </c>
      <c r="M10" s="2">
        <v>-1.4894381808728041</v>
      </c>
      <c r="N10" s="2"/>
      <c r="O10" s="2"/>
      <c r="P10" s="2"/>
      <c r="Q10" s="2">
        <f t="shared" si="0"/>
        <v>24.435977762432945</v>
      </c>
      <c r="R10" s="2">
        <f t="shared" si="1"/>
        <v>69.454488621225209</v>
      </c>
      <c r="S10" s="2" t="e">
        <f t="shared" si="2"/>
        <v>#NUM!</v>
      </c>
      <c r="T10" s="2"/>
      <c r="U10" s="2"/>
      <c r="V10" s="2"/>
      <c r="W10" s="2"/>
      <c r="X10" s="2"/>
      <c r="Y10" s="2"/>
      <c r="Z10" s="2"/>
    </row>
    <row r="11" spans="1:26" x14ac:dyDescent="0.2">
      <c r="A11" s="2">
        <v>2</v>
      </c>
      <c r="B11" s="2">
        <v>260603</v>
      </c>
      <c r="C11" s="2" t="s">
        <v>36</v>
      </c>
      <c r="D11" s="2" t="s">
        <v>20</v>
      </c>
      <c r="E11" s="2" t="s">
        <v>38</v>
      </c>
      <c r="F11" s="2">
        <v>2.398001285323188</v>
      </c>
      <c r="G11" s="2">
        <v>2.7359715285544781</v>
      </c>
      <c r="H11" s="2">
        <v>2.9007447744811161</v>
      </c>
      <c r="I11" s="2">
        <v>2.8404954587947748</v>
      </c>
      <c r="J11" s="2">
        <v>2.2260574046888699</v>
      </c>
      <c r="K11" s="2">
        <v>1.95505840522604</v>
      </c>
      <c r="L11" s="2">
        <v>1.657678111219038</v>
      </c>
      <c r="M11" s="2">
        <v>1.5638108578315171</v>
      </c>
      <c r="N11" s="2">
        <v>11.7</v>
      </c>
      <c r="O11" s="2"/>
      <c r="P11" s="2"/>
      <c r="Q11" s="2">
        <f t="shared" si="0"/>
        <v>105.25204163034655</v>
      </c>
      <c r="R11" s="2">
        <f t="shared" si="1"/>
        <v>231.29415747090627</v>
      </c>
      <c r="S11" s="2">
        <f t="shared" si="2"/>
        <v>1347.0700584101508</v>
      </c>
      <c r="T11" s="2"/>
      <c r="U11" s="2"/>
      <c r="V11" s="2"/>
      <c r="W11" s="2"/>
      <c r="X11" s="2"/>
      <c r="Y11" s="2"/>
      <c r="Z11" s="2"/>
    </row>
    <row r="12" spans="1:26" x14ac:dyDescent="0.2">
      <c r="A12" s="2">
        <v>2</v>
      </c>
      <c r="B12" s="2">
        <v>260603</v>
      </c>
      <c r="C12" s="2" t="s">
        <v>19</v>
      </c>
      <c r="D12" s="2" t="s">
        <v>20</v>
      </c>
      <c r="E12" s="2" t="s">
        <v>39</v>
      </c>
      <c r="F12" s="2">
        <v>1.9754335784580681</v>
      </c>
      <c r="G12" s="2">
        <v>2.3021579340357552</v>
      </c>
      <c r="H12" s="2">
        <v>2.1906084822830429</v>
      </c>
      <c r="I12" s="2">
        <v>1.794615055134144</v>
      </c>
      <c r="J12" s="2">
        <v>1.381167281653745</v>
      </c>
      <c r="K12" s="2">
        <v>1.237831548591606</v>
      </c>
      <c r="L12" s="2">
        <v>1.140692467974824</v>
      </c>
      <c r="M12" s="2">
        <v>1.0848474064293581</v>
      </c>
      <c r="N12" s="2">
        <v>4.2</v>
      </c>
      <c r="O12" s="2"/>
      <c r="P12" s="2"/>
      <c r="Q12" s="2">
        <f t="shared" si="0"/>
        <v>76.899898158116315</v>
      </c>
      <c r="R12" s="2">
        <f t="shared" si="1"/>
        <v>150.01973460598566</v>
      </c>
      <c r="S12" s="2">
        <f t="shared" si="2"/>
        <v>507.87955891894177</v>
      </c>
      <c r="T12" s="2"/>
      <c r="U12" s="2"/>
      <c r="V12" s="2"/>
      <c r="W12" s="2"/>
      <c r="X12" s="2"/>
      <c r="Y12" s="2"/>
      <c r="Z12" s="2"/>
    </row>
    <row r="13" spans="1:26" x14ac:dyDescent="0.2">
      <c r="A13" s="2">
        <v>2</v>
      </c>
      <c r="B13" s="2">
        <v>260603</v>
      </c>
      <c r="C13" s="2" t="s">
        <v>22</v>
      </c>
      <c r="D13" s="2" t="s">
        <v>20</v>
      </c>
      <c r="E13" s="2" t="s">
        <v>40</v>
      </c>
      <c r="F13" s="2">
        <v>1.9970119751242059</v>
      </c>
      <c r="G13" s="2">
        <v>2.2233458623727298</v>
      </c>
      <c r="H13" s="2">
        <v>2.2685010747628951</v>
      </c>
      <c r="I13" s="2">
        <v>1.998628278172482</v>
      </c>
      <c r="J13" s="2">
        <v>1.634105292420164</v>
      </c>
      <c r="K13" s="2">
        <v>1.4725624728200271</v>
      </c>
      <c r="L13" s="2">
        <v>1.31358448948606</v>
      </c>
      <c r="M13" s="2">
        <v>1.24621830269356</v>
      </c>
      <c r="N13" s="2">
        <v>3.4</v>
      </c>
      <c r="O13" s="2"/>
      <c r="P13" s="2"/>
      <c r="Q13" s="2">
        <f t="shared" si="0"/>
        <v>78.264995255362138</v>
      </c>
      <c r="R13" s="2">
        <f t="shared" si="1"/>
        <v>158.3303007894441</v>
      </c>
      <c r="S13" s="2">
        <f t="shared" si="2"/>
        <v>717.57482296647311</v>
      </c>
      <c r="T13" s="2"/>
      <c r="U13" s="2"/>
      <c r="V13" s="2"/>
      <c r="W13" s="2"/>
      <c r="X13" s="2"/>
      <c r="Y13" s="2"/>
      <c r="Z13" s="2"/>
    </row>
    <row r="14" spans="1:26" x14ac:dyDescent="0.2">
      <c r="A14" s="2">
        <v>2</v>
      </c>
      <c r="B14" s="2">
        <v>260603</v>
      </c>
      <c r="C14" s="2" t="s">
        <v>24</v>
      </c>
      <c r="D14" s="2" t="s">
        <v>20</v>
      </c>
      <c r="E14" s="2" t="s">
        <v>41</v>
      </c>
      <c r="F14" s="2">
        <v>6.3154597709349458</v>
      </c>
      <c r="G14" s="2">
        <v>6.8413731079576454</v>
      </c>
      <c r="H14" s="2">
        <v>1.7878569308385901</v>
      </c>
      <c r="I14" s="2">
        <v>1.784550613652188</v>
      </c>
      <c r="J14" s="2">
        <v>1.9765794227223681</v>
      </c>
      <c r="K14" s="2">
        <v>1.739365531688934</v>
      </c>
      <c r="L14" s="2">
        <v>1.4959115754686461</v>
      </c>
      <c r="M14" s="2">
        <v>1.404175709268874</v>
      </c>
      <c r="N14" s="2">
        <v>2.4</v>
      </c>
      <c r="O14" s="2"/>
      <c r="P14" s="2"/>
      <c r="Q14" s="2">
        <f t="shared" si="0"/>
        <v>503.61163690176232</v>
      </c>
      <c r="R14" s="2">
        <f t="shared" si="1"/>
        <v>109.61364651132183</v>
      </c>
      <c r="S14" s="2">
        <f t="shared" si="2"/>
        <v>1058.1422968241354</v>
      </c>
      <c r="T14" s="2"/>
      <c r="U14" s="2"/>
      <c r="V14" s="2"/>
      <c r="W14" s="2"/>
      <c r="X14" s="2"/>
      <c r="Y14" s="2"/>
      <c r="Z14" s="2"/>
    </row>
    <row r="15" spans="1:26" x14ac:dyDescent="0.2">
      <c r="A15" s="2">
        <v>2</v>
      </c>
      <c r="B15" s="2">
        <v>260603</v>
      </c>
      <c r="C15" s="2" t="s">
        <v>26</v>
      </c>
      <c r="D15" s="2" t="s">
        <v>20</v>
      </c>
      <c r="E15" s="2" t="s">
        <v>42</v>
      </c>
      <c r="F15" s="2">
        <v>2.3415400898711849</v>
      </c>
      <c r="G15" s="2">
        <v>2.616888026272294</v>
      </c>
      <c r="H15" s="2">
        <v>2.7502224676023781</v>
      </c>
      <c r="I15" s="2">
        <v>2.5440837856638971</v>
      </c>
      <c r="J15" s="2">
        <v>2.052388581612445</v>
      </c>
      <c r="K15" s="2">
        <v>1.7851922318611591</v>
      </c>
      <c r="L15" s="2">
        <v>1.5270786928737849</v>
      </c>
      <c r="M15" s="2">
        <v>1.3862357661405029</v>
      </c>
      <c r="N15" s="2">
        <v>3.600000000000001</v>
      </c>
      <c r="O15" s="2"/>
      <c r="P15" s="2"/>
      <c r="Q15" s="2">
        <f t="shared" si="0"/>
        <v>101.27022207285644</v>
      </c>
      <c r="R15" s="2">
        <f t="shared" si="1"/>
        <v>213.0642690398787</v>
      </c>
      <c r="S15" s="2">
        <f t="shared" si="2"/>
        <v>1142.3056556160711</v>
      </c>
      <c r="T15" s="2"/>
      <c r="U15" s="2"/>
      <c r="V15" s="2"/>
      <c r="W15" s="2"/>
      <c r="X15" s="2"/>
      <c r="Y15" s="2"/>
      <c r="Z15" s="2"/>
    </row>
    <row r="16" spans="1:26" x14ac:dyDescent="0.2">
      <c r="A16" s="2">
        <v>2</v>
      </c>
      <c r="B16" s="2">
        <v>260603</v>
      </c>
      <c r="C16" s="2" t="s">
        <v>43</v>
      </c>
      <c r="D16" s="2" t="s">
        <v>20</v>
      </c>
      <c r="E16" s="2" t="s">
        <v>44</v>
      </c>
      <c r="F16" s="2">
        <v>2.1289243155370561</v>
      </c>
      <c r="G16" s="2">
        <v>2.2215953930195829</v>
      </c>
      <c r="H16" s="2">
        <v>2.2379835297315949</v>
      </c>
      <c r="I16" s="2">
        <v>2.3922878442083668</v>
      </c>
      <c r="J16" s="2">
        <v>2.1385075681202288</v>
      </c>
      <c r="K16" s="2">
        <v>1.941385145828723</v>
      </c>
      <c r="L16" s="2">
        <v>1.741127014616052</v>
      </c>
      <c r="M16" s="2">
        <v>1.6312202747029561</v>
      </c>
      <c r="N16" s="2">
        <v>2.8</v>
      </c>
      <c r="O16" s="2"/>
      <c r="P16" s="2"/>
      <c r="Q16" s="2">
        <f t="shared" si="0"/>
        <v>86.806763707080663</v>
      </c>
      <c r="R16" s="2">
        <f t="shared" si="1"/>
        <v>155.0557853854734</v>
      </c>
      <c r="S16" s="2">
        <f t="shared" si="2"/>
        <v>1241.7650589754996</v>
      </c>
      <c r="T16" s="2"/>
      <c r="U16" s="2"/>
      <c r="V16" s="2"/>
      <c r="W16" s="2"/>
      <c r="X16" s="2"/>
      <c r="Y16" s="2"/>
      <c r="Z16" s="2"/>
    </row>
    <row r="17" spans="1:26" x14ac:dyDescent="0.2">
      <c r="A17" s="2">
        <v>3</v>
      </c>
      <c r="B17" s="2">
        <v>260610</v>
      </c>
      <c r="C17" s="2" t="s">
        <v>45</v>
      </c>
      <c r="D17" s="2" t="s">
        <v>20</v>
      </c>
      <c r="E17" s="2" t="s">
        <v>46</v>
      </c>
      <c r="F17" s="2">
        <v>1.3798652578615871</v>
      </c>
      <c r="G17" s="2">
        <v>1.6004900707651419</v>
      </c>
      <c r="H17" s="2">
        <v>1.4185815304944871</v>
      </c>
      <c r="I17" s="2">
        <v>1.20600799612173</v>
      </c>
      <c r="J17" s="2">
        <v>1.0308674442590109</v>
      </c>
      <c r="K17" s="2">
        <v>1.0118494140198431</v>
      </c>
      <c r="L17" s="2">
        <v>1.089425697136063</v>
      </c>
      <c r="M17" s="2">
        <v>1.2393827474867469</v>
      </c>
      <c r="N17" s="2">
        <v>7</v>
      </c>
      <c r="O17" s="2"/>
      <c r="P17" s="2"/>
      <c r="Q17" s="2">
        <f t="shared" si="0"/>
        <v>42.986644960681403</v>
      </c>
      <c r="R17" s="2">
        <f t="shared" si="1"/>
        <v>76.620366301945936</v>
      </c>
      <c r="S17" s="2">
        <f t="shared" si="2"/>
        <v>276.52573856164946</v>
      </c>
      <c r="T17" s="2"/>
      <c r="U17" s="2"/>
      <c r="V17" s="2"/>
      <c r="W17" s="2"/>
      <c r="X17" s="2"/>
      <c r="Y17" s="2"/>
      <c r="Z17" s="2"/>
    </row>
    <row r="18" spans="1:26" x14ac:dyDescent="0.2">
      <c r="A18" s="2">
        <v>3</v>
      </c>
      <c r="B18" s="2">
        <v>260610</v>
      </c>
      <c r="C18" s="2" t="s">
        <v>47</v>
      </c>
      <c r="D18" s="2" t="s">
        <v>20</v>
      </c>
      <c r="E18" s="2" t="s">
        <v>48</v>
      </c>
      <c r="F18" s="2">
        <v>1.331178166906837</v>
      </c>
      <c r="G18" s="2">
        <v>1.5180319849892721</v>
      </c>
      <c r="H18" s="2">
        <v>1.4319290869884951</v>
      </c>
      <c r="I18" s="2">
        <v>1.233809695484799</v>
      </c>
      <c r="J18" s="2">
        <v>1.03583748972303</v>
      </c>
      <c r="K18" s="2">
        <v>1.007728366582417</v>
      </c>
      <c r="L18" s="2">
        <v>1.070606619013124</v>
      </c>
      <c r="M18" s="2">
        <v>1.1968921927763521</v>
      </c>
      <c r="N18" s="2">
        <v>8.6000000000000014</v>
      </c>
      <c r="O18" s="2"/>
      <c r="P18" s="2"/>
      <c r="Q18" s="2">
        <f t="shared" si="0"/>
        <v>40.552653785476814</v>
      </c>
      <c r="R18" s="2">
        <f t="shared" si="1"/>
        <v>77.740456713057583</v>
      </c>
      <c r="S18" s="2">
        <f t="shared" si="2"/>
        <v>279.32630118285152</v>
      </c>
      <c r="T18" s="2"/>
      <c r="U18" s="2"/>
      <c r="V18" s="2"/>
      <c r="W18" s="2"/>
      <c r="X18" s="2"/>
      <c r="Y18" s="2"/>
      <c r="Z18" s="2"/>
    </row>
    <row r="19" spans="1:26" x14ac:dyDescent="0.2">
      <c r="A19" s="2">
        <v>3</v>
      </c>
      <c r="B19" s="2">
        <v>260610</v>
      </c>
      <c r="C19" s="2" t="s">
        <v>49</v>
      </c>
      <c r="D19" s="2" t="s">
        <v>20</v>
      </c>
      <c r="E19" s="2" t="s">
        <v>50</v>
      </c>
      <c r="F19" s="2">
        <v>1.6497629239904199</v>
      </c>
      <c r="G19" s="2">
        <v>1.813128933252937</v>
      </c>
      <c r="H19" s="2">
        <v>1.8232712980253769</v>
      </c>
      <c r="I19" s="2">
        <v>1.6965352881788029</v>
      </c>
      <c r="J19" s="2">
        <v>1.3966631454874081</v>
      </c>
      <c r="K19" s="2">
        <v>1.286440561429776</v>
      </c>
      <c r="L19" s="2">
        <v>1.299701342907736</v>
      </c>
      <c r="M19" s="2">
        <v>1.4139714906780321</v>
      </c>
      <c r="N19" s="2">
        <v>15.7</v>
      </c>
      <c r="O19" s="2"/>
      <c r="P19" s="2"/>
      <c r="Q19" s="2">
        <f t="shared" si="0"/>
        <v>57.431847126414318</v>
      </c>
      <c r="R19" s="2">
        <f t="shared" si="1"/>
        <v>112.98815700688893</v>
      </c>
      <c r="S19" s="2">
        <f t="shared" si="2"/>
        <v>519.70058769892421</v>
      </c>
      <c r="T19" s="2"/>
      <c r="U19" s="2"/>
      <c r="V19" s="2"/>
      <c r="W19" s="2"/>
      <c r="X19" s="2"/>
      <c r="Y19" s="2"/>
      <c r="Z19" s="2"/>
    </row>
    <row r="20" spans="1:26" x14ac:dyDescent="0.2">
      <c r="A20" s="2">
        <v>3</v>
      </c>
      <c r="B20" s="2">
        <v>260610</v>
      </c>
      <c r="C20" s="2" t="s">
        <v>51</v>
      </c>
      <c r="D20" s="2" t="s">
        <v>20</v>
      </c>
      <c r="E20" s="2" t="s">
        <v>52</v>
      </c>
      <c r="F20" s="2">
        <v>4.4772767688945194</v>
      </c>
      <c r="G20" s="2">
        <v>4.6498878369239831</v>
      </c>
      <c r="H20" s="2">
        <v>5.73101427824494</v>
      </c>
      <c r="I20" s="2">
        <v>5.6149192179208063</v>
      </c>
      <c r="J20" s="2">
        <v>5.4177459435396473</v>
      </c>
      <c r="K20" s="2">
        <v>5.0801076306649806</v>
      </c>
      <c r="L20" s="2">
        <v>5.1247439985069123</v>
      </c>
      <c r="M20" s="2">
        <v>5.5845776212331346</v>
      </c>
      <c r="N20" s="2">
        <v>15.6</v>
      </c>
      <c r="O20" s="2"/>
      <c r="P20" s="2"/>
      <c r="Q20" s="2">
        <f t="shared" si="0"/>
        <v>288.89624579676047</v>
      </c>
      <c r="R20" s="2">
        <f t="shared" si="1"/>
        <v>659.15686396016042</v>
      </c>
      <c r="S20" s="2">
        <f t="shared" si="2"/>
        <v>8040.4190020197975</v>
      </c>
      <c r="T20" s="2"/>
      <c r="U20" s="2"/>
      <c r="V20" s="2"/>
      <c r="W20" s="2"/>
      <c r="X20" s="2"/>
      <c r="Y20" s="2"/>
      <c r="Z20" s="2"/>
    </row>
    <row r="21" spans="1:26" x14ac:dyDescent="0.2">
      <c r="A21" s="2">
        <v>3</v>
      </c>
      <c r="B21" s="2">
        <v>260610</v>
      </c>
      <c r="C21" s="2" t="s">
        <v>53</v>
      </c>
      <c r="D21" s="2" t="s">
        <v>20</v>
      </c>
      <c r="E21" s="2" t="s">
        <v>54</v>
      </c>
      <c r="F21" s="2">
        <v>2.042583169242957</v>
      </c>
      <c r="G21" s="2">
        <v>2.4288471348780609</v>
      </c>
      <c r="H21" s="2">
        <v>2.4648903702764531</v>
      </c>
      <c r="I21" s="2">
        <v>2.150956376060996</v>
      </c>
      <c r="J21" s="2">
        <v>1.699454345276777</v>
      </c>
      <c r="K21" s="2">
        <v>1.524835832585139</v>
      </c>
      <c r="L21" s="2">
        <v>1.4249679854915089</v>
      </c>
      <c r="M21" s="2">
        <v>1.4239783113026629</v>
      </c>
      <c r="N21" s="2">
        <v>9.1000000000000014</v>
      </c>
      <c r="O21" s="2"/>
      <c r="P21" s="2"/>
      <c r="Q21" s="2">
        <f t="shared" si="0"/>
        <v>81.177821589496943</v>
      </c>
      <c r="R21" s="2">
        <f t="shared" si="1"/>
        <v>179.96290397871616</v>
      </c>
      <c r="S21" s="2">
        <f t="shared" si="2"/>
        <v>777.538643692042</v>
      </c>
      <c r="T21" s="2"/>
      <c r="U21" s="2"/>
      <c r="V21" s="2"/>
      <c r="W21" s="2"/>
      <c r="X21" s="2"/>
      <c r="Y21" s="2"/>
      <c r="Z21" s="2"/>
    </row>
    <row r="22" spans="1:26" x14ac:dyDescent="0.2">
      <c r="A22" s="2">
        <v>3</v>
      </c>
      <c r="B22" s="2">
        <v>260610</v>
      </c>
      <c r="C22" s="2" t="s">
        <v>32</v>
      </c>
      <c r="D22" s="2" t="s">
        <v>20</v>
      </c>
      <c r="E22" s="2" t="s">
        <v>55</v>
      </c>
      <c r="F22" s="2">
        <v>2.3558070055390692</v>
      </c>
      <c r="G22" s="2">
        <v>2.5655909826553791</v>
      </c>
      <c r="H22" s="2">
        <v>2.7640731513505301</v>
      </c>
      <c r="I22" s="2">
        <v>2.826443141778749</v>
      </c>
      <c r="J22" s="2">
        <v>2.4753108565470039</v>
      </c>
      <c r="K22" s="2">
        <v>2.2407957363081632</v>
      </c>
      <c r="L22" s="2">
        <v>2.078289169112451</v>
      </c>
      <c r="M22" s="2">
        <v>2.0435055935326121</v>
      </c>
      <c r="N22" s="2">
        <v>15</v>
      </c>
      <c r="O22" s="2"/>
      <c r="P22" s="2"/>
      <c r="Q22" s="2">
        <f t="shared" si="0"/>
        <v>102.27085442449822</v>
      </c>
      <c r="R22" s="2">
        <f t="shared" si="1"/>
        <v>214.71996541108797</v>
      </c>
      <c r="S22" s="2">
        <f t="shared" si="2"/>
        <v>1669.9818895468486</v>
      </c>
      <c r="T22" s="2"/>
      <c r="U22" s="2"/>
      <c r="V22" s="2"/>
      <c r="W22" s="2"/>
      <c r="X22" s="2"/>
      <c r="Y22" s="2"/>
      <c r="Z22" s="2"/>
    </row>
    <row r="23" spans="1:26" x14ac:dyDescent="0.2">
      <c r="A23" s="2">
        <v>3</v>
      </c>
      <c r="B23" s="2">
        <v>260610</v>
      </c>
      <c r="C23" s="2" t="s">
        <v>34</v>
      </c>
      <c r="D23" s="2" t="s">
        <v>20</v>
      </c>
      <c r="E23" s="2" t="s">
        <v>56</v>
      </c>
      <c r="F23" s="2">
        <v>1.805335446668203</v>
      </c>
      <c r="G23" s="2">
        <v>1.9817771299361511</v>
      </c>
      <c r="H23" s="2">
        <v>1.819222100036076</v>
      </c>
      <c r="I23" s="2">
        <v>1.9097392845258301</v>
      </c>
      <c r="J23" s="2">
        <v>1.808768665785782</v>
      </c>
      <c r="K23" s="2">
        <v>1.614359807726419</v>
      </c>
      <c r="L23" s="2">
        <v>1.515963370614138</v>
      </c>
      <c r="M23" s="2">
        <v>1.5252726086701329</v>
      </c>
      <c r="N23" s="2">
        <v>13.3</v>
      </c>
      <c r="O23" s="2"/>
      <c r="P23" s="2"/>
      <c r="Q23" s="2">
        <f t="shared" si="0"/>
        <v>66.46265409495949</v>
      </c>
      <c r="R23" s="2">
        <f t="shared" si="1"/>
        <v>112.60052714844598</v>
      </c>
      <c r="S23" s="2">
        <f t="shared" si="2"/>
        <v>883.14351074452054</v>
      </c>
      <c r="T23" s="2"/>
      <c r="U23" s="2"/>
      <c r="V23" s="2"/>
      <c r="W23" s="2"/>
      <c r="X23" s="2"/>
      <c r="Y23" s="2"/>
      <c r="Z23" s="2"/>
    </row>
    <row r="24" spans="1:26" x14ac:dyDescent="0.2">
      <c r="A24" s="2">
        <v>4</v>
      </c>
      <c r="B24" s="2">
        <v>260618</v>
      </c>
      <c r="C24" s="2" t="s">
        <v>19</v>
      </c>
      <c r="D24" s="2" t="s">
        <v>20</v>
      </c>
      <c r="E24" s="2" t="s">
        <v>57</v>
      </c>
      <c r="F24" s="2">
        <v>3.602378435448391</v>
      </c>
      <c r="G24" s="2">
        <v>3.9965896131716532</v>
      </c>
      <c r="H24" s="2">
        <v>3.3397927532403089</v>
      </c>
      <c r="I24" s="2">
        <v>2.6070981089397569</v>
      </c>
      <c r="J24" s="2">
        <v>2.005659811485041</v>
      </c>
      <c r="K24" s="2">
        <v>1.691759744463885</v>
      </c>
      <c r="L24" s="2">
        <v>1.2155511483742609</v>
      </c>
      <c r="M24" s="2">
        <v>0.88701111032737512</v>
      </c>
      <c r="N24" s="2"/>
      <c r="O24" s="2"/>
      <c r="P24" s="2"/>
      <c r="Q24" s="2">
        <f t="shared" si="0"/>
        <v>203.29074765401103</v>
      </c>
      <c r="R24" s="2">
        <f t="shared" si="1"/>
        <v>287.35497598450371</v>
      </c>
      <c r="S24" s="2">
        <f t="shared" si="2"/>
        <v>1090.0519514164125</v>
      </c>
      <c r="T24" s="2"/>
      <c r="U24" s="2"/>
      <c r="V24" s="2"/>
      <c r="W24" s="2"/>
      <c r="X24" s="2"/>
      <c r="Y24" s="2"/>
      <c r="Z24" s="2"/>
    </row>
    <row r="25" spans="1:26" x14ac:dyDescent="0.2">
      <c r="A25" s="2">
        <v>4</v>
      </c>
      <c r="B25" s="2">
        <v>260618</v>
      </c>
      <c r="C25" s="2" t="s">
        <v>19</v>
      </c>
      <c r="D25" s="2" t="s">
        <v>58</v>
      </c>
      <c r="E25" s="2" t="s">
        <v>59</v>
      </c>
      <c r="F25" s="2">
        <v>1.8330669540299269</v>
      </c>
      <c r="G25" s="2">
        <v>2.213264156975884</v>
      </c>
      <c r="H25" s="2">
        <v>1.763302518638872</v>
      </c>
      <c r="I25" s="2">
        <v>1.161325672043976</v>
      </c>
      <c r="J25" s="2">
        <v>0.37736268237865422</v>
      </c>
      <c r="K25" s="2">
        <v>0.2286758768227182</v>
      </c>
      <c r="L25" s="2">
        <v>0.1270736949795907</v>
      </c>
      <c r="M25" s="2">
        <v>9.7217681327413832E-2</v>
      </c>
      <c r="N25" s="2"/>
      <c r="O25" s="2"/>
      <c r="P25" s="2"/>
      <c r="Q25" s="2">
        <f t="shared" si="0"/>
        <v>68.124645792239363</v>
      </c>
      <c r="R25" s="2">
        <f t="shared" si="1"/>
        <v>107.29486860352654</v>
      </c>
      <c r="S25" s="2">
        <f t="shared" si="2"/>
        <v>30.406932451996497</v>
      </c>
      <c r="T25" s="2"/>
      <c r="U25" s="2"/>
      <c r="V25" s="2"/>
      <c r="W25" s="2"/>
      <c r="X25" s="2"/>
      <c r="Y25" s="2"/>
      <c r="Z25" s="2"/>
    </row>
    <row r="26" spans="1:26" x14ac:dyDescent="0.2">
      <c r="A26" s="2">
        <v>4</v>
      </c>
      <c r="B26" s="2">
        <v>260618</v>
      </c>
      <c r="C26" s="2" t="s">
        <v>22</v>
      </c>
      <c r="D26" s="2" t="s">
        <v>20</v>
      </c>
      <c r="E26" s="2" t="s">
        <v>60</v>
      </c>
      <c r="F26" s="2">
        <v>1.9411557504444159</v>
      </c>
      <c r="G26" s="2">
        <v>2.3384214121354439</v>
      </c>
      <c r="H26" s="2">
        <v>2.203601254179556</v>
      </c>
      <c r="I26" s="2">
        <v>1.6971042711668729</v>
      </c>
      <c r="J26" s="2">
        <v>1.224886976981771</v>
      </c>
      <c r="K26" s="2">
        <v>1.046233352180828</v>
      </c>
      <c r="L26" s="2">
        <v>0.93351458667660836</v>
      </c>
      <c r="M26" s="2">
        <v>0.96760908741218377</v>
      </c>
      <c r="N26" s="2"/>
      <c r="O26" s="2"/>
      <c r="P26" s="2"/>
      <c r="Q26" s="2">
        <f t="shared" si="0"/>
        <v>74.750233465982518</v>
      </c>
      <c r="R26" s="2">
        <f t="shared" si="1"/>
        <v>151.39514100875786</v>
      </c>
      <c r="S26" s="2">
        <f t="shared" si="2"/>
        <v>396.1651866692722</v>
      </c>
      <c r="T26" s="2"/>
      <c r="U26" s="2"/>
      <c r="V26" s="2"/>
      <c r="W26" s="2"/>
      <c r="X26" s="2"/>
      <c r="Y26" s="2"/>
      <c r="Z26" s="2"/>
    </row>
    <row r="27" spans="1:26" x14ac:dyDescent="0.2">
      <c r="A27" s="2">
        <v>4</v>
      </c>
      <c r="B27" s="2">
        <v>260618</v>
      </c>
      <c r="C27" s="2" t="s">
        <v>22</v>
      </c>
      <c r="D27" s="2" t="s">
        <v>58</v>
      </c>
      <c r="E27" s="2" t="s">
        <v>61</v>
      </c>
      <c r="F27" s="2">
        <v>1.7665827044596301</v>
      </c>
      <c r="G27" s="2">
        <v>2.146418601831324</v>
      </c>
      <c r="H27" s="2">
        <v>1.930294516195731</v>
      </c>
      <c r="I27" s="2">
        <v>1.1805567603366041</v>
      </c>
      <c r="J27" s="2">
        <v>0.92701075310255721</v>
      </c>
      <c r="K27" s="2">
        <v>0.66363218404526958</v>
      </c>
      <c r="L27" s="2">
        <v>0.52826675241182108</v>
      </c>
      <c r="M27" s="2">
        <v>0.52500727569203187</v>
      </c>
      <c r="N27" s="2"/>
      <c r="O27" s="2"/>
      <c r="P27" s="2"/>
      <c r="Q27" s="2">
        <f t="shared" si="0"/>
        <v>64.166377965526792</v>
      </c>
      <c r="R27" s="2">
        <f t="shared" si="1"/>
        <v>123.39956309050103</v>
      </c>
      <c r="S27" s="2">
        <f t="shared" si="2"/>
        <v>221.18995610693099</v>
      </c>
      <c r="T27" s="2"/>
      <c r="U27" s="2"/>
      <c r="V27" s="2"/>
      <c r="W27" s="2"/>
      <c r="X27" s="2"/>
      <c r="Y27" s="2"/>
      <c r="Z27" s="2"/>
    </row>
    <row r="28" spans="1:26" x14ac:dyDescent="0.2">
      <c r="A28" s="2">
        <v>4</v>
      </c>
      <c r="B28" s="2">
        <v>260618</v>
      </c>
      <c r="C28" s="2" t="s">
        <v>24</v>
      </c>
      <c r="D28" s="2" t="s">
        <v>20</v>
      </c>
      <c r="E28" s="2" t="s">
        <v>62</v>
      </c>
      <c r="F28" s="2">
        <v>4.2016482181175574</v>
      </c>
      <c r="G28" s="2">
        <v>4.835012226625639</v>
      </c>
      <c r="H28" s="2">
        <v>4.8533596769831009</v>
      </c>
      <c r="I28" s="2">
        <v>4.2726230556657594</v>
      </c>
      <c r="J28" s="2">
        <v>3.627620908507641</v>
      </c>
      <c r="K28" s="2">
        <v>3.3334591022115898</v>
      </c>
      <c r="L28" s="2">
        <v>3.0554094158953489</v>
      </c>
      <c r="M28" s="2">
        <v>2.870916537647882</v>
      </c>
      <c r="N28" s="2"/>
      <c r="O28" s="2"/>
      <c r="P28" s="2"/>
      <c r="Q28" s="2">
        <f t="shared" si="0"/>
        <v>260.70316810419348</v>
      </c>
      <c r="R28" s="2">
        <f t="shared" si="1"/>
        <v>510.59027526815976</v>
      </c>
      <c r="S28" s="2">
        <f t="shared" si="2"/>
        <v>3605.0056477146109</v>
      </c>
      <c r="T28" s="2"/>
      <c r="U28" s="2"/>
      <c r="V28" s="2"/>
      <c r="W28" s="2"/>
      <c r="X28" s="2"/>
      <c r="Y28" s="2"/>
      <c r="Z28" s="2"/>
    </row>
    <row r="29" spans="1:26" x14ac:dyDescent="0.2">
      <c r="A29" s="2">
        <v>4</v>
      </c>
      <c r="B29" s="2">
        <v>260618</v>
      </c>
      <c r="C29" s="2" t="s">
        <v>24</v>
      </c>
      <c r="D29" s="2" t="s">
        <v>58</v>
      </c>
      <c r="E29" s="2" t="s">
        <v>63</v>
      </c>
      <c r="F29" s="2">
        <v>2.606011659053626</v>
      </c>
      <c r="G29" s="2">
        <v>2.8470223242141941</v>
      </c>
      <c r="H29" s="2">
        <v>3.1718630821645069</v>
      </c>
      <c r="I29" s="2">
        <v>2.859749534047404</v>
      </c>
      <c r="J29" s="2">
        <v>2.201061240449417</v>
      </c>
      <c r="K29" s="2">
        <v>1.985023990667627</v>
      </c>
      <c r="L29" s="2">
        <v>1.650427797935375</v>
      </c>
      <c r="M29" s="2">
        <v>1.5313290205486561</v>
      </c>
      <c r="N29" s="2"/>
      <c r="O29" s="2"/>
      <c r="P29" s="2"/>
      <c r="Q29" s="2">
        <f t="shared" si="0"/>
        <v>120.41891367217048</v>
      </c>
      <c r="R29" s="2">
        <f t="shared" si="1"/>
        <v>265.41564811036903</v>
      </c>
      <c r="S29" s="2">
        <f t="shared" si="2"/>
        <v>1316.5737327119107</v>
      </c>
      <c r="T29" s="2"/>
      <c r="U29" s="2"/>
      <c r="V29" s="2"/>
      <c r="W29" s="2"/>
      <c r="X29" s="2"/>
      <c r="Y29" s="2"/>
      <c r="Z29" s="2"/>
    </row>
    <row r="30" spans="1:26" x14ac:dyDescent="0.2">
      <c r="A30" s="2">
        <v>4</v>
      </c>
      <c r="B30" s="2">
        <v>260618</v>
      </c>
      <c r="C30" s="2" t="s">
        <v>26</v>
      </c>
      <c r="D30" s="2" t="s">
        <v>20</v>
      </c>
      <c r="E30" s="2" t="s">
        <v>64</v>
      </c>
      <c r="F30" s="2">
        <v>3.1920655805188769</v>
      </c>
      <c r="G30" s="2">
        <v>3.7199768454245961</v>
      </c>
      <c r="H30" s="2">
        <v>3.4662381827699948</v>
      </c>
      <c r="I30" s="2">
        <v>2.819654101899276</v>
      </c>
      <c r="J30" s="2">
        <v>2.2305536513839859</v>
      </c>
      <c r="K30" s="2">
        <v>1.895213152315848</v>
      </c>
      <c r="L30" s="2">
        <v>1.4060093897472401</v>
      </c>
      <c r="M30" s="2">
        <v>1.177444646775835</v>
      </c>
      <c r="N30" s="2"/>
      <c r="O30" s="2"/>
      <c r="P30" s="2"/>
      <c r="Q30" s="2">
        <f t="shared" si="0"/>
        <v>167.1858632728609</v>
      </c>
      <c r="R30" s="2">
        <f t="shared" si="1"/>
        <v>304.2696875035457</v>
      </c>
      <c r="S30" s="2">
        <f t="shared" si="2"/>
        <v>1352.5921912662413</v>
      </c>
      <c r="T30" s="2"/>
      <c r="U30" s="2"/>
      <c r="V30" s="2"/>
      <c r="W30" s="2"/>
      <c r="X30" s="2"/>
      <c r="Y30" s="2"/>
      <c r="Z30" s="2"/>
    </row>
    <row r="31" spans="1:26" x14ac:dyDescent="0.2">
      <c r="A31" s="2">
        <v>4</v>
      </c>
      <c r="B31" s="2">
        <v>260618</v>
      </c>
      <c r="C31" s="2" t="s">
        <v>26</v>
      </c>
      <c r="D31" s="2" t="s">
        <v>58</v>
      </c>
      <c r="E31" s="2" t="s">
        <v>65</v>
      </c>
      <c r="F31" s="2">
        <v>2.1059228006982482</v>
      </c>
      <c r="G31" s="2">
        <v>2.421006646456906</v>
      </c>
      <c r="H31" s="2">
        <v>2.6783930549586219</v>
      </c>
      <c r="I31" s="2">
        <v>2.5680636152063681</v>
      </c>
      <c r="J31" s="2">
        <v>1.9477351140056729</v>
      </c>
      <c r="K31" s="2">
        <v>1.7037541733748289</v>
      </c>
      <c r="L31" s="2">
        <v>1.425522944935133</v>
      </c>
      <c r="M31" s="2">
        <v>1.2849289234593511</v>
      </c>
      <c r="N31" s="2"/>
      <c r="O31" s="2"/>
      <c r="P31" s="2"/>
      <c r="Q31" s="2">
        <f t="shared" si="0"/>
        <v>85.293200752686374</v>
      </c>
      <c r="R31" s="2">
        <f t="shared" si="1"/>
        <v>204.54953545475567</v>
      </c>
      <c r="S31" s="2">
        <f t="shared" si="2"/>
        <v>1026.9534922643311</v>
      </c>
      <c r="T31" s="2"/>
      <c r="U31" s="2"/>
      <c r="V31" s="2"/>
      <c r="W31" s="2"/>
      <c r="X31" s="2"/>
      <c r="Y31" s="2"/>
      <c r="Z31" s="2"/>
    </row>
    <row r="32" spans="1:26" x14ac:dyDescent="0.2">
      <c r="A32" s="2">
        <v>4</v>
      </c>
      <c r="B32" s="2">
        <v>260618</v>
      </c>
      <c r="C32" s="2" t="s">
        <v>43</v>
      </c>
      <c r="D32" s="2" t="s">
        <v>20</v>
      </c>
      <c r="E32" s="2" t="s">
        <v>66</v>
      </c>
      <c r="F32" s="2">
        <v>5.5818885235783142</v>
      </c>
      <c r="G32" s="2">
        <v>6.5808104051733158</v>
      </c>
      <c r="H32" s="2">
        <v>6.1814854865326971</v>
      </c>
      <c r="I32" s="2">
        <v>5.320063422914429</v>
      </c>
      <c r="J32" s="2">
        <v>4.419466129919047</v>
      </c>
      <c r="K32" s="2">
        <v>3.9636060472419512</v>
      </c>
      <c r="L32" s="2">
        <v>3.5922468932816929</v>
      </c>
      <c r="M32" s="2">
        <v>3.3800757967076649</v>
      </c>
      <c r="N32" s="2"/>
      <c r="O32" s="2"/>
      <c r="P32" s="2"/>
      <c r="Q32" s="2">
        <f t="shared" si="0"/>
        <v>412.54945493241217</v>
      </c>
      <c r="R32" s="2">
        <f t="shared" si="1"/>
        <v>740.39072059176033</v>
      </c>
      <c r="S32" s="2">
        <f t="shared" si="2"/>
        <v>5353.4580857462579</v>
      </c>
      <c r="T32" s="2"/>
      <c r="U32" s="2"/>
      <c r="V32" s="2"/>
      <c r="W32" s="2"/>
      <c r="X32" s="2"/>
      <c r="Y32" s="2"/>
      <c r="Z32" s="2"/>
    </row>
    <row r="33" spans="1:26" x14ac:dyDescent="0.2">
      <c r="A33" s="2">
        <v>4</v>
      </c>
      <c r="B33" s="2">
        <v>260618</v>
      </c>
      <c r="C33" s="2" t="s">
        <v>43</v>
      </c>
      <c r="D33" s="2" t="s">
        <v>58</v>
      </c>
      <c r="E33" s="2" t="s">
        <v>67</v>
      </c>
      <c r="F33" s="2">
        <v>3.2664140102524928</v>
      </c>
      <c r="G33" s="2">
        <v>4.1661657341163609</v>
      </c>
      <c r="H33" s="2">
        <v>4.0555658276328446</v>
      </c>
      <c r="I33" s="2">
        <v>3.2029659475823711</v>
      </c>
      <c r="J33" s="2">
        <v>2.8424862185159401</v>
      </c>
      <c r="K33" s="2">
        <v>2.5005735931170099</v>
      </c>
      <c r="L33" s="2">
        <v>2.0552282534162538</v>
      </c>
      <c r="M33" s="2">
        <v>2.014786342227167</v>
      </c>
      <c r="N33" s="2"/>
      <c r="O33" s="2"/>
      <c r="P33" s="2"/>
      <c r="Q33" s="2">
        <f t="shared" si="0"/>
        <v>173.5281635347464</v>
      </c>
      <c r="R33" s="2">
        <f t="shared" si="1"/>
        <v>387.40931336213242</v>
      </c>
      <c r="S33" s="2">
        <f t="shared" si="2"/>
        <v>2207.7984665606073</v>
      </c>
      <c r="T33" s="2"/>
      <c r="U33" s="2"/>
      <c r="V33" s="2"/>
      <c r="W33" s="2"/>
      <c r="X33" s="2"/>
      <c r="Y33" s="2"/>
      <c r="Z33" s="2"/>
    </row>
    <row r="34" spans="1:26" x14ac:dyDescent="0.2">
      <c r="A34" s="2">
        <v>4</v>
      </c>
      <c r="B34" s="2">
        <v>260618</v>
      </c>
      <c r="C34" s="2" t="s">
        <v>36</v>
      </c>
      <c r="D34" s="2" t="s">
        <v>20</v>
      </c>
      <c r="E34" s="2" t="s">
        <v>68</v>
      </c>
      <c r="F34" s="2">
        <v>3.264551072611487</v>
      </c>
      <c r="G34" s="2">
        <v>3.7043410443385558</v>
      </c>
      <c r="H34" s="2">
        <v>3.6391679243064412</v>
      </c>
      <c r="I34" s="2">
        <v>3.0956522520431942</v>
      </c>
      <c r="J34" s="2">
        <v>2.683005964330246</v>
      </c>
      <c r="K34" s="2">
        <v>2.427748808867114</v>
      </c>
      <c r="L34" s="2">
        <v>2.1741785527660982</v>
      </c>
      <c r="M34" s="2">
        <v>1.9557347877635829</v>
      </c>
      <c r="N34" s="2"/>
      <c r="O34" s="2"/>
      <c r="P34" s="2"/>
      <c r="Q34" s="2">
        <f t="shared" ref="Q34:Q65" si="3">((F34- 0.00793) / 0.1333)^(1/0.6199)</f>
        <v>173.36815066171607</v>
      </c>
      <c r="R34" s="2">
        <f t="shared" ref="R34:R65" si="4">((H34- 0.0166) / 0.0825)^(1/0.6529)</f>
        <v>327.94049740409469</v>
      </c>
      <c r="S34" s="2">
        <f t="shared" ref="S34:S65" si="5">((J34- 0.06053) / 0.0561)^(1/0.507)</f>
        <v>1965.1235148041349</v>
      </c>
      <c r="T34" s="2"/>
      <c r="U34" s="2"/>
      <c r="V34" s="2"/>
      <c r="W34" s="2"/>
      <c r="X34" s="2"/>
      <c r="Y34" s="2"/>
      <c r="Z34" s="2"/>
    </row>
    <row r="35" spans="1:26" x14ac:dyDescent="0.2">
      <c r="A35" s="2">
        <v>4</v>
      </c>
      <c r="B35" s="2">
        <v>260618</v>
      </c>
      <c r="C35" s="2" t="s">
        <v>36</v>
      </c>
      <c r="D35" s="2" t="s">
        <v>58</v>
      </c>
      <c r="E35" s="2" t="s">
        <v>69</v>
      </c>
      <c r="F35" s="2">
        <v>2.2172967897567668</v>
      </c>
      <c r="G35" s="2">
        <v>2.388025971630733</v>
      </c>
      <c r="H35" s="2">
        <v>2.1198657494860642</v>
      </c>
      <c r="I35" s="2">
        <v>1.510446664369725</v>
      </c>
      <c r="J35" s="2">
        <v>1.06296438699984</v>
      </c>
      <c r="K35" s="2">
        <v>0.95045445830600028</v>
      </c>
      <c r="L35" s="2">
        <v>0.65256683487568679</v>
      </c>
      <c r="M35" s="2">
        <v>0.63235723702587365</v>
      </c>
      <c r="N35" s="2"/>
      <c r="O35" s="2"/>
      <c r="P35" s="2"/>
      <c r="Q35" s="2">
        <f t="shared" si="3"/>
        <v>92.715477160304204</v>
      </c>
      <c r="R35" s="2">
        <f t="shared" si="4"/>
        <v>142.60782691449512</v>
      </c>
      <c r="S35" s="2">
        <f t="shared" si="5"/>
        <v>294.8571251294008</v>
      </c>
      <c r="T35" s="2"/>
      <c r="U35" s="2"/>
      <c r="V35" s="2"/>
      <c r="W35" s="2"/>
      <c r="X35" s="2"/>
      <c r="Y35" s="2"/>
      <c r="Z35" s="2"/>
    </row>
    <row r="36" spans="1:26" x14ac:dyDescent="0.2">
      <c r="A36" s="2">
        <v>5</v>
      </c>
      <c r="B36" s="2">
        <v>260625</v>
      </c>
      <c r="C36" s="2" t="s">
        <v>45</v>
      </c>
      <c r="D36" s="2" t="s">
        <v>58</v>
      </c>
      <c r="E36" s="2" t="s">
        <v>70</v>
      </c>
      <c r="F36" s="2">
        <v>1.039712801394842</v>
      </c>
      <c r="G36" s="2">
        <v>1.1118781441100809</v>
      </c>
      <c r="H36" s="2">
        <v>1.094458376680181</v>
      </c>
      <c r="I36" s="2">
        <v>0.9419181824195757</v>
      </c>
      <c r="J36" s="2">
        <v>0.76415878352798461</v>
      </c>
      <c r="K36" s="2">
        <v>0.74606054451487769</v>
      </c>
      <c r="L36" s="2">
        <v>0.83811493354630495</v>
      </c>
      <c r="M36" s="2">
        <v>0.95073260666089432</v>
      </c>
      <c r="N36" s="2"/>
      <c r="O36" s="2"/>
      <c r="P36" s="2"/>
      <c r="Q36" s="2">
        <f t="shared" si="3"/>
        <v>27.146391417976915</v>
      </c>
      <c r="R36" s="2">
        <f t="shared" si="4"/>
        <v>51.222647266881694</v>
      </c>
      <c r="S36" s="2">
        <f t="shared" si="5"/>
        <v>146.70044503823482</v>
      </c>
      <c r="T36" s="2"/>
      <c r="U36" s="2"/>
      <c r="V36" s="2"/>
      <c r="W36" s="2"/>
      <c r="X36" s="2"/>
      <c r="Y36" s="2"/>
      <c r="Z36" s="2"/>
    </row>
    <row r="37" spans="1:26" x14ac:dyDescent="0.2">
      <c r="A37" s="2">
        <v>5</v>
      </c>
      <c r="B37" s="2">
        <v>260625</v>
      </c>
      <c r="C37" s="2" t="s">
        <v>47</v>
      </c>
      <c r="D37" s="2" t="s">
        <v>58</v>
      </c>
      <c r="E37" s="2" t="s">
        <v>71</v>
      </c>
      <c r="F37" s="2">
        <v>2.069769747157745</v>
      </c>
      <c r="G37" s="2">
        <v>1.893487611776711</v>
      </c>
      <c r="H37" s="2">
        <v>1.490980225595447</v>
      </c>
      <c r="I37" s="2">
        <v>1.2791183191187441</v>
      </c>
      <c r="J37" s="2">
        <v>1.0863543130893809</v>
      </c>
      <c r="K37" s="2">
        <v>1.0671318797766891</v>
      </c>
      <c r="L37" s="2">
        <v>1.0673811232699599</v>
      </c>
      <c r="M37" s="2">
        <v>1.125195711184048</v>
      </c>
      <c r="N37" s="2"/>
      <c r="O37" s="2"/>
      <c r="P37" s="2"/>
      <c r="Q37" s="2">
        <f t="shared" si="3"/>
        <v>82.934742921524702</v>
      </c>
      <c r="R37" s="2">
        <f t="shared" si="4"/>
        <v>82.763081108565501</v>
      </c>
      <c r="S37" s="2">
        <f t="shared" si="5"/>
        <v>308.58093202469007</v>
      </c>
      <c r="T37" s="2"/>
      <c r="U37" s="2"/>
      <c r="V37" s="2"/>
      <c r="W37" s="2"/>
      <c r="X37" s="2"/>
      <c r="Y37" s="2"/>
      <c r="Z37" s="2"/>
    </row>
    <row r="38" spans="1:26" x14ac:dyDescent="0.2">
      <c r="A38" s="2">
        <v>5</v>
      </c>
      <c r="B38" s="2">
        <v>260625</v>
      </c>
      <c r="C38" s="2" t="s">
        <v>49</v>
      </c>
      <c r="D38" s="2" t="s">
        <v>58</v>
      </c>
      <c r="E38" s="2" t="s">
        <v>72</v>
      </c>
      <c r="F38" s="2">
        <v>1.7202682822711199</v>
      </c>
      <c r="G38" s="2">
        <v>1.9890317621289371</v>
      </c>
      <c r="H38" s="2">
        <v>1.7633559546628861</v>
      </c>
      <c r="I38" s="2">
        <v>1.294311697669368</v>
      </c>
      <c r="J38" s="2">
        <v>1.1908976862730309</v>
      </c>
      <c r="K38" s="2">
        <v>1.2044643996958071</v>
      </c>
      <c r="L38" s="2">
        <v>1.2650883970490749</v>
      </c>
      <c r="M38" s="2">
        <v>0.92148730995976491</v>
      </c>
      <c r="N38" s="2"/>
      <c r="O38" s="2"/>
      <c r="P38" s="2"/>
      <c r="Q38" s="2">
        <f t="shared" si="3"/>
        <v>61.462486437199495</v>
      </c>
      <c r="R38" s="2">
        <f t="shared" si="4"/>
        <v>107.29989609109214</v>
      </c>
      <c r="S38" s="2">
        <f t="shared" si="5"/>
        <v>373.67906065899768</v>
      </c>
      <c r="T38" s="2"/>
      <c r="U38" s="2"/>
      <c r="V38" s="2"/>
      <c r="W38" s="2"/>
      <c r="X38" s="2"/>
      <c r="Y38" s="2"/>
      <c r="Z38" s="2"/>
    </row>
    <row r="39" spans="1:26" x14ac:dyDescent="0.2">
      <c r="A39" s="2">
        <v>5</v>
      </c>
      <c r="B39" s="2">
        <v>260625</v>
      </c>
      <c r="C39" s="2" t="s">
        <v>51</v>
      </c>
      <c r="D39" s="2" t="s">
        <v>58</v>
      </c>
      <c r="E39" s="2" t="s">
        <v>73</v>
      </c>
      <c r="F39" s="2">
        <v>2.9565722810175372</v>
      </c>
      <c r="G39" s="2">
        <v>3.1420192158867182</v>
      </c>
      <c r="H39" s="2">
        <v>2.6444027419551368</v>
      </c>
      <c r="I39" s="2">
        <v>2.1217009093661132</v>
      </c>
      <c r="J39" s="2">
        <v>1.877285148963675</v>
      </c>
      <c r="K39" s="2">
        <v>1.670499315054035</v>
      </c>
      <c r="L39" s="2">
        <v>1.767973218338813</v>
      </c>
      <c r="M39" s="2">
        <v>1.8442599456857951</v>
      </c>
      <c r="N39" s="2"/>
      <c r="O39" s="2"/>
      <c r="P39" s="2"/>
      <c r="Q39" s="2">
        <f t="shared" si="3"/>
        <v>147.69614333566017</v>
      </c>
      <c r="R39" s="2">
        <f t="shared" si="4"/>
        <v>200.56247262274564</v>
      </c>
      <c r="S39" s="2">
        <f t="shared" si="5"/>
        <v>952.71195365760025</v>
      </c>
      <c r="T39" s="2"/>
      <c r="U39" s="2"/>
      <c r="V39" s="2"/>
      <c r="W39" s="2"/>
      <c r="X39" s="2"/>
      <c r="Y39" s="2"/>
      <c r="Z39" s="2"/>
    </row>
    <row r="40" spans="1:26" x14ac:dyDescent="0.2">
      <c r="A40" s="2">
        <v>5</v>
      </c>
      <c r="B40" s="2">
        <v>260625</v>
      </c>
      <c r="C40" s="2" t="s">
        <v>53</v>
      </c>
      <c r="D40" s="2" t="s">
        <v>58</v>
      </c>
      <c r="E40" s="2" t="s">
        <v>74</v>
      </c>
      <c r="F40" s="2">
        <v>2.1320021862402538</v>
      </c>
      <c r="G40" s="2">
        <v>2.172628385112453</v>
      </c>
      <c r="H40" s="2">
        <v>2.510210300934526</v>
      </c>
      <c r="I40" s="2">
        <v>2.3286999699761912</v>
      </c>
      <c r="J40" s="2">
        <v>1.915495373348074</v>
      </c>
      <c r="K40" s="2">
        <v>1.7422635046861019</v>
      </c>
      <c r="L40" s="2">
        <v>1.6693154781669211</v>
      </c>
      <c r="M40" s="2">
        <v>1.6995936024874361</v>
      </c>
      <c r="N40" s="2"/>
      <c r="O40" s="2"/>
      <c r="P40" s="2"/>
      <c r="Q40" s="2">
        <f t="shared" si="3"/>
        <v>87.010063030074605</v>
      </c>
      <c r="R40" s="2">
        <f t="shared" si="4"/>
        <v>185.09019789471478</v>
      </c>
      <c r="S40" s="2">
        <f t="shared" si="5"/>
        <v>992.63782477385519</v>
      </c>
      <c r="T40" s="2"/>
      <c r="U40" s="2"/>
      <c r="V40" s="2"/>
      <c r="W40" s="2"/>
      <c r="X40" s="2"/>
      <c r="Y40" s="2"/>
      <c r="Z40" s="2"/>
    </row>
    <row r="41" spans="1:26" x14ac:dyDescent="0.2">
      <c r="A41" s="2">
        <v>5</v>
      </c>
      <c r="B41" s="2">
        <v>260625</v>
      </c>
      <c r="C41" s="2" t="s">
        <v>75</v>
      </c>
      <c r="D41" s="2" t="s">
        <v>58</v>
      </c>
      <c r="E41" s="2" t="s">
        <v>76</v>
      </c>
      <c r="F41" s="2">
        <v>3.2706684630945611</v>
      </c>
      <c r="G41" s="2">
        <v>3.5157252998159851</v>
      </c>
      <c r="H41" s="2">
        <v>3.2201666931073909</v>
      </c>
      <c r="I41" s="2">
        <v>2.29473065168541</v>
      </c>
      <c r="J41" s="2">
        <v>1.9876724024907291</v>
      </c>
      <c r="K41" s="2">
        <v>1.5764066748196901</v>
      </c>
      <c r="L41" s="2">
        <v>1.7100813808500359</v>
      </c>
      <c r="M41" s="2">
        <v>1.9376854379069139</v>
      </c>
      <c r="N41" s="2"/>
      <c r="O41" s="2"/>
      <c r="P41" s="2"/>
      <c r="Q41" s="2">
        <f t="shared" si="3"/>
        <v>173.89380061624757</v>
      </c>
      <c r="R41" s="2">
        <f t="shared" si="4"/>
        <v>271.66425770413832</v>
      </c>
      <c r="S41" s="2">
        <f t="shared" si="5"/>
        <v>1070.2593860910229</v>
      </c>
      <c r="T41" s="2"/>
      <c r="U41" s="2"/>
      <c r="V41" s="2"/>
      <c r="W41" s="2"/>
      <c r="X41" s="2"/>
      <c r="Y41" s="2"/>
      <c r="Z41" s="2"/>
    </row>
    <row r="42" spans="1:26" x14ac:dyDescent="0.2">
      <c r="A42" s="2">
        <v>5</v>
      </c>
      <c r="B42" s="2">
        <v>260625</v>
      </c>
      <c r="C42" s="2" t="s">
        <v>34</v>
      </c>
      <c r="D42" s="2" t="s">
        <v>58</v>
      </c>
      <c r="E42" s="2" t="s">
        <v>77</v>
      </c>
      <c r="F42" s="2">
        <v>2.664290798626451</v>
      </c>
      <c r="G42" s="2">
        <v>3.143701417664134</v>
      </c>
      <c r="H42" s="2">
        <v>3.0944806309322379</v>
      </c>
      <c r="I42" s="2">
        <v>2.508922527886567</v>
      </c>
      <c r="J42" s="2">
        <v>2.1210716217281131</v>
      </c>
      <c r="K42" s="2">
        <v>1.925595546915452</v>
      </c>
      <c r="L42" s="2">
        <v>1.749214479632841</v>
      </c>
      <c r="M42" s="2">
        <v>1.877341021971543</v>
      </c>
      <c r="N42" s="2"/>
      <c r="O42" s="2"/>
      <c r="P42" s="2"/>
      <c r="Q42" s="2">
        <f t="shared" si="3"/>
        <v>124.80625437169218</v>
      </c>
      <c r="R42" s="2">
        <f t="shared" si="4"/>
        <v>255.5110857379228</v>
      </c>
      <c r="S42" s="2">
        <f t="shared" si="5"/>
        <v>1221.2977543709285</v>
      </c>
      <c r="T42" s="2"/>
      <c r="U42" s="2"/>
      <c r="V42" s="2"/>
      <c r="W42" s="2"/>
      <c r="X42" s="2"/>
      <c r="Y42" s="2"/>
      <c r="Z42" s="2"/>
    </row>
    <row r="43" spans="1:26" x14ac:dyDescent="0.2">
      <c r="A43" s="2">
        <v>5</v>
      </c>
      <c r="B43" s="2">
        <v>260625</v>
      </c>
      <c r="C43" s="2" t="s">
        <v>32</v>
      </c>
      <c r="D43" s="2" t="s">
        <v>58</v>
      </c>
      <c r="E43" s="2" t="s">
        <v>78</v>
      </c>
      <c r="F43" s="2">
        <v>3.47217926120224</v>
      </c>
      <c r="G43" s="2">
        <v>3.8803602561099839</v>
      </c>
      <c r="H43" s="2">
        <v>3.5775382523084271</v>
      </c>
      <c r="I43" s="2">
        <v>2.9851734001699182</v>
      </c>
      <c r="J43" s="2">
        <v>2.4136582130570812</v>
      </c>
      <c r="K43" s="2">
        <v>2.175392700199152</v>
      </c>
      <c r="L43" s="2">
        <v>2.027132851647826</v>
      </c>
      <c r="M43" s="2">
        <v>1.8653186273724689</v>
      </c>
      <c r="N43" s="2"/>
      <c r="O43" s="2"/>
      <c r="P43" s="2"/>
      <c r="Q43" s="2">
        <f t="shared" si="3"/>
        <v>191.54450365587033</v>
      </c>
      <c r="R43" s="2">
        <f t="shared" si="4"/>
        <v>319.43405431635603</v>
      </c>
      <c r="S43" s="2">
        <f t="shared" si="5"/>
        <v>1586.9295681689941</v>
      </c>
      <c r="T43" s="2"/>
      <c r="U43" s="2"/>
      <c r="V43" s="2"/>
      <c r="W43" s="2"/>
      <c r="X43" s="2"/>
      <c r="Y43" s="2"/>
      <c r="Z43" s="2"/>
    </row>
    <row r="44" spans="1:26" x14ac:dyDescent="0.2">
      <c r="A44" s="2">
        <v>6</v>
      </c>
      <c r="B44" s="2">
        <v>260702</v>
      </c>
      <c r="C44" s="2" t="s">
        <v>45</v>
      </c>
      <c r="D44" s="2" t="s">
        <v>58</v>
      </c>
      <c r="E44" s="2" t="s">
        <v>79</v>
      </c>
      <c r="F44" s="2">
        <v>0.94436504267443422</v>
      </c>
      <c r="G44" s="2">
        <v>0.94189377033034571</v>
      </c>
      <c r="H44" s="2">
        <v>0.78573205847141936</v>
      </c>
      <c r="I44" s="2">
        <v>0.6657603537346064</v>
      </c>
      <c r="J44" s="2">
        <v>0.60499627405455803</v>
      </c>
      <c r="K44" s="2">
        <v>0.65513143958119113</v>
      </c>
      <c r="L44" s="2">
        <v>0.75771684627212765</v>
      </c>
      <c r="M44" s="2">
        <v>0.91625450908172446</v>
      </c>
      <c r="N44" s="2">
        <v>3.2</v>
      </c>
      <c r="O44" s="2"/>
      <c r="P44" s="2"/>
      <c r="Q44" s="2">
        <f t="shared" si="3"/>
        <v>23.215646577783257</v>
      </c>
      <c r="R44" s="2">
        <f t="shared" si="4"/>
        <v>30.548183885395744</v>
      </c>
      <c r="S44" s="2">
        <f t="shared" si="5"/>
        <v>88.462983456306347</v>
      </c>
      <c r="T44" s="2"/>
      <c r="U44" s="2"/>
      <c r="V44" s="2"/>
      <c r="W44" s="2"/>
      <c r="X44" s="2"/>
      <c r="Y44" s="2"/>
      <c r="Z44" s="2"/>
    </row>
    <row r="45" spans="1:26" x14ac:dyDescent="0.2">
      <c r="A45" s="2">
        <v>6</v>
      </c>
      <c r="B45" s="2">
        <v>260702</v>
      </c>
      <c r="C45" s="2" t="s">
        <v>80</v>
      </c>
      <c r="D45" s="2" t="s">
        <v>58</v>
      </c>
      <c r="E45" s="2" t="s">
        <v>81</v>
      </c>
      <c r="F45" s="2">
        <v>1.285676486432471</v>
      </c>
      <c r="G45" s="2">
        <v>1.368582885426237</v>
      </c>
      <c r="H45" s="2">
        <v>1.2817682082935631</v>
      </c>
      <c r="I45" s="2">
        <v>1.095770803688505</v>
      </c>
      <c r="J45" s="2">
        <v>0.94403074818321242</v>
      </c>
      <c r="K45" s="2">
        <v>0.95728759750088721</v>
      </c>
      <c r="L45" s="2">
        <v>1.055294705793405</v>
      </c>
      <c r="M45" s="2">
        <v>1.1957829353078451</v>
      </c>
      <c r="N45" s="2">
        <v>4.4000000000000004</v>
      </c>
      <c r="O45" s="2"/>
      <c r="P45" s="2"/>
      <c r="Q45" s="2">
        <f t="shared" si="3"/>
        <v>38.326986320440703</v>
      </c>
      <c r="R45" s="2">
        <f t="shared" si="4"/>
        <v>65.470064026524383</v>
      </c>
      <c r="S45" s="2">
        <f t="shared" si="5"/>
        <v>229.84133046130046</v>
      </c>
      <c r="T45" s="2"/>
      <c r="U45" s="2"/>
      <c r="V45" s="2"/>
      <c r="W45" s="2"/>
      <c r="X45" s="2"/>
      <c r="Y45" s="2"/>
      <c r="Z45" s="2"/>
    </row>
    <row r="46" spans="1:26" x14ac:dyDescent="0.2">
      <c r="A46" s="2">
        <v>6</v>
      </c>
      <c r="B46" s="2">
        <v>260702</v>
      </c>
      <c r="C46" s="2" t="s">
        <v>82</v>
      </c>
      <c r="D46" s="2" t="s">
        <v>58</v>
      </c>
      <c r="E46" s="2" t="s">
        <v>83</v>
      </c>
      <c r="F46" s="2">
        <v>1.4464788599180529</v>
      </c>
      <c r="G46" s="2">
        <v>1.2303333796578031</v>
      </c>
      <c r="H46" s="2">
        <v>1.0307026336025851</v>
      </c>
      <c r="I46" s="2">
        <v>0.81964764862526185</v>
      </c>
      <c r="J46" s="2">
        <v>0.62040482008225573</v>
      </c>
      <c r="K46" s="2">
        <v>0.74058929710825216</v>
      </c>
      <c r="L46" s="2">
        <v>0.70703084062133126</v>
      </c>
      <c r="M46" s="2">
        <v>0.89416862281325626</v>
      </c>
      <c r="N46" s="2">
        <v>4.4000000000000004</v>
      </c>
      <c r="O46" s="2"/>
      <c r="P46" s="2"/>
      <c r="Q46" s="2">
        <f t="shared" si="3"/>
        <v>46.40344224059416</v>
      </c>
      <c r="R46" s="2">
        <f t="shared" si="4"/>
        <v>46.655712672562977</v>
      </c>
      <c r="S46" s="2">
        <f t="shared" si="5"/>
        <v>93.468831603494408</v>
      </c>
      <c r="T46" s="2"/>
      <c r="U46" s="2"/>
      <c r="V46" s="2"/>
      <c r="W46" s="2"/>
      <c r="X46" s="2"/>
      <c r="Y46" s="2"/>
      <c r="Z46" s="2"/>
    </row>
    <row r="47" spans="1:26" x14ac:dyDescent="0.2">
      <c r="A47" s="2">
        <v>6</v>
      </c>
      <c r="B47" s="2">
        <v>260702</v>
      </c>
      <c r="C47" s="2" t="s">
        <v>49</v>
      </c>
      <c r="D47" s="2" t="s">
        <v>58</v>
      </c>
      <c r="E47" s="2" t="s">
        <v>84</v>
      </c>
      <c r="F47" s="2">
        <v>1.3702808661272079</v>
      </c>
      <c r="G47" s="2">
        <v>1.303943262477546</v>
      </c>
      <c r="H47" s="2">
        <v>1.0590583867810479</v>
      </c>
      <c r="I47" s="2">
        <v>0.70976952613867561</v>
      </c>
      <c r="J47" s="2">
        <v>1.0242569006925351</v>
      </c>
      <c r="K47" s="2">
        <v>1.003491490649522</v>
      </c>
      <c r="L47" s="2">
        <v>1.061712201735622</v>
      </c>
      <c r="M47" s="2">
        <v>1.061092657774992</v>
      </c>
      <c r="N47" s="2">
        <v>13.87</v>
      </c>
      <c r="O47" s="2"/>
      <c r="P47" s="2"/>
      <c r="Q47" s="2">
        <f t="shared" si="3"/>
        <v>42.503240286722473</v>
      </c>
      <c r="R47" s="2">
        <f t="shared" si="4"/>
        <v>48.668600456851365</v>
      </c>
      <c r="S47" s="2">
        <f t="shared" si="5"/>
        <v>272.82233523979431</v>
      </c>
      <c r="T47" s="2"/>
      <c r="U47" s="2"/>
      <c r="V47" s="2"/>
      <c r="W47" s="2"/>
      <c r="X47" s="2"/>
      <c r="Y47" s="2"/>
      <c r="Z47" s="2"/>
    </row>
    <row r="48" spans="1:26" x14ac:dyDescent="0.2">
      <c r="A48" s="2">
        <v>6</v>
      </c>
      <c r="B48" s="2">
        <v>260702</v>
      </c>
      <c r="C48" s="2" t="s">
        <v>51</v>
      </c>
      <c r="D48" s="2" t="s">
        <v>58</v>
      </c>
      <c r="E48" s="2" t="s">
        <v>85</v>
      </c>
      <c r="F48" s="2">
        <v>2.101183170277964</v>
      </c>
      <c r="G48" s="2">
        <v>2.3224341028148259</v>
      </c>
      <c r="H48" s="2">
        <v>2.1241328746066648</v>
      </c>
      <c r="I48" s="2">
        <v>1.6795845800549929</v>
      </c>
      <c r="J48" s="2">
        <v>1.330934842177069</v>
      </c>
      <c r="K48" s="2">
        <v>1.334808408204545</v>
      </c>
      <c r="L48" s="2">
        <v>1.2479525970417911</v>
      </c>
      <c r="M48" s="2">
        <v>1.458121529612546</v>
      </c>
      <c r="N48" s="2">
        <v>26.2</v>
      </c>
      <c r="O48" s="2"/>
      <c r="P48" s="2"/>
      <c r="Q48" s="2">
        <f t="shared" si="3"/>
        <v>84.98257870859365</v>
      </c>
      <c r="R48" s="2">
        <f t="shared" si="4"/>
        <v>143.05120272254032</v>
      </c>
      <c r="S48" s="2">
        <f t="shared" si="5"/>
        <v>470.48193970619025</v>
      </c>
      <c r="T48" s="2"/>
      <c r="U48" s="2"/>
      <c r="V48" s="2"/>
      <c r="W48" s="2"/>
      <c r="X48" s="2"/>
      <c r="Y48" s="2"/>
      <c r="Z48" s="2"/>
    </row>
    <row r="49" spans="1:26" x14ac:dyDescent="0.2">
      <c r="A49" s="2">
        <v>6</v>
      </c>
      <c r="B49" s="2">
        <v>260702</v>
      </c>
      <c r="C49" s="2" t="s">
        <v>53</v>
      </c>
      <c r="D49" s="2" t="s">
        <v>58</v>
      </c>
      <c r="E49" s="2" t="s">
        <v>86</v>
      </c>
      <c r="F49" s="2">
        <v>2.394284651501315</v>
      </c>
      <c r="G49" s="2">
        <v>2.7747990261939499</v>
      </c>
      <c r="H49" s="2">
        <v>2.7549894619755579</v>
      </c>
      <c r="I49" s="2">
        <v>2.426931170010592</v>
      </c>
      <c r="J49" s="2">
        <v>1.8604956154874199</v>
      </c>
      <c r="K49" s="2">
        <v>1.678547350004562</v>
      </c>
      <c r="L49" s="2">
        <v>1.61973350288713</v>
      </c>
      <c r="M49" s="2">
        <v>1.718017349468165</v>
      </c>
      <c r="N49" s="2">
        <v>38.729999999999997</v>
      </c>
      <c r="O49" s="2"/>
      <c r="P49" s="2"/>
      <c r="Q49" s="2">
        <f t="shared" si="3"/>
        <v>104.98814084977955</v>
      </c>
      <c r="R49" s="2">
        <f t="shared" si="4"/>
        <v>213.63360847995179</v>
      </c>
      <c r="S49" s="2">
        <f t="shared" si="5"/>
        <v>935.42414415387771</v>
      </c>
      <c r="T49" s="2"/>
      <c r="U49" s="2"/>
      <c r="V49" s="2"/>
      <c r="W49" s="2"/>
      <c r="X49" s="2"/>
      <c r="Y49" s="2"/>
      <c r="Z49" s="2"/>
    </row>
    <row r="50" spans="1:26" x14ac:dyDescent="0.2">
      <c r="A50" s="2">
        <v>6</v>
      </c>
      <c r="B50" s="2">
        <v>260702</v>
      </c>
      <c r="C50" s="2" t="s">
        <v>75</v>
      </c>
      <c r="D50" s="2" t="s">
        <v>58</v>
      </c>
      <c r="E50" s="2" t="s">
        <v>87</v>
      </c>
      <c r="F50" s="2">
        <v>2.0334270401856589</v>
      </c>
      <c r="G50" s="2">
        <v>2.0830541468524841</v>
      </c>
      <c r="H50" s="2">
        <v>1.762018739611686</v>
      </c>
      <c r="I50" s="2">
        <v>1.1299264212126701</v>
      </c>
      <c r="J50" s="2">
        <v>0.97729895724546723</v>
      </c>
      <c r="K50" s="2">
        <v>0.89578499053892202</v>
      </c>
      <c r="L50" s="2">
        <v>0.65929854247645892</v>
      </c>
      <c r="M50" s="2">
        <v>0.86097558205816904</v>
      </c>
      <c r="N50" s="2">
        <v>25</v>
      </c>
      <c r="O50" s="2"/>
      <c r="P50" s="2"/>
      <c r="Q50" s="2">
        <f t="shared" si="3"/>
        <v>80.589333960628025</v>
      </c>
      <c r="R50" s="2">
        <f t="shared" si="4"/>
        <v>107.17410981453051</v>
      </c>
      <c r="S50" s="2">
        <f t="shared" si="5"/>
        <v>247.22410004919209</v>
      </c>
      <c r="T50" s="2"/>
      <c r="U50" s="2"/>
      <c r="V50" s="2"/>
      <c r="W50" s="2"/>
      <c r="X50" s="2"/>
      <c r="Y50" s="2"/>
      <c r="Z50" s="2"/>
    </row>
    <row r="51" spans="1:26" x14ac:dyDescent="0.2">
      <c r="A51" s="2">
        <v>6</v>
      </c>
      <c r="B51" s="2">
        <v>260702</v>
      </c>
      <c r="C51" s="2" t="s">
        <v>34</v>
      </c>
      <c r="D51" s="2" t="s">
        <v>58</v>
      </c>
      <c r="E51" s="2" t="s">
        <v>88</v>
      </c>
      <c r="F51" s="2">
        <v>2.1794971586212069</v>
      </c>
      <c r="G51" s="2">
        <v>2.406478403663884</v>
      </c>
      <c r="H51" s="2">
        <v>2.5164279757067489</v>
      </c>
      <c r="I51" s="2">
        <v>2.3153177013556121</v>
      </c>
      <c r="J51" s="2">
        <v>1.863512352412749</v>
      </c>
      <c r="K51" s="2">
        <v>1.732049973295525</v>
      </c>
      <c r="L51" s="2">
        <v>1.6612830518630379</v>
      </c>
      <c r="M51" s="2">
        <v>1.712162966927451</v>
      </c>
      <c r="N51" s="2">
        <v>17.2</v>
      </c>
      <c r="O51" s="2"/>
      <c r="P51" s="2"/>
      <c r="Q51" s="2">
        <f t="shared" si="3"/>
        <v>90.170046434500506</v>
      </c>
      <c r="R51" s="2">
        <f t="shared" si="4"/>
        <v>185.79753071406932</v>
      </c>
      <c r="S51" s="2">
        <f t="shared" si="5"/>
        <v>938.51890850229108</v>
      </c>
      <c r="T51" s="2"/>
      <c r="U51" s="2"/>
      <c r="V51" s="2"/>
      <c r="W51" s="2"/>
      <c r="X51" s="2"/>
      <c r="Y51" s="2"/>
      <c r="Z51" s="2"/>
    </row>
    <row r="52" spans="1:26" x14ac:dyDescent="0.2">
      <c r="A52" s="2">
        <v>6</v>
      </c>
      <c r="B52" s="2">
        <v>260702</v>
      </c>
      <c r="C52" s="2" t="s">
        <v>32</v>
      </c>
      <c r="D52" s="2" t="s">
        <v>58</v>
      </c>
      <c r="E52" s="2" t="s">
        <v>89</v>
      </c>
      <c r="F52" s="2">
        <v>1.884321081569122</v>
      </c>
      <c r="G52" s="2">
        <v>2.056808721595424</v>
      </c>
      <c r="H52" s="2">
        <v>2.2175783044036859</v>
      </c>
      <c r="I52" s="2">
        <v>2.0838405017181829</v>
      </c>
      <c r="J52" s="2">
        <v>1.6992036853019681</v>
      </c>
      <c r="K52" s="2">
        <v>1.5692470119555251</v>
      </c>
      <c r="L52" s="2">
        <v>1.5173142472445831</v>
      </c>
      <c r="M52" s="2">
        <v>1.5737045605954501</v>
      </c>
      <c r="N52" s="2">
        <v>22.13</v>
      </c>
      <c r="O52" s="2"/>
      <c r="P52" s="2"/>
      <c r="Q52" s="2">
        <f t="shared" si="3"/>
        <v>71.237263482166782</v>
      </c>
      <c r="R52" s="2">
        <f t="shared" si="4"/>
        <v>152.87959993622187</v>
      </c>
      <c r="S52" s="2">
        <f t="shared" si="5"/>
        <v>777.30410861038195</v>
      </c>
      <c r="T52" s="2"/>
      <c r="U52" s="2"/>
      <c r="V52" s="2"/>
      <c r="W52" s="2"/>
      <c r="X52" s="2"/>
      <c r="Y52" s="2"/>
      <c r="Z52" s="2"/>
    </row>
    <row r="53" spans="1:26" x14ac:dyDescent="0.2">
      <c r="A53" s="2">
        <v>7</v>
      </c>
      <c r="B53" s="2">
        <v>260709</v>
      </c>
      <c r="C53" s="2" t="s">
        <v>36</v>
      </c>
      <c r="D53" s="2" t="s">
        <v>58</v>
      </c>
      <c r="E53" s="2" t="s">
        <v>90</v>
      </c>
      <c r="F53" s="2">
        <v>2.3957447174942779</v>
      </c>
      <c r="G53" s="2">
        <v>2.4385592707526502</v>
      </c>
      <c r="H53" s="2">
        <v>2.8285741084756628</v>
      </c>
      <c r="I53" s="2">
        <v>2.7785097360088709</v>
      </c>
      <c r="J53" s="2">
        <v>2.670348214567499</v>
      </c>
      <c r="K53" s="2">
        <v>2.338441358728089</v>
      </c>
      <c r="L53" s="2">
        <v>2.165224231285376</v>
      </c>
      <c r="M53" s="2">
        <v>2.0010104690623831</v>
      </c>
      <c r="N53" s="2">
        <v>6.27</v>
      </c>
      <c r="O53" s="2"/>
      <c r="P53" s="2"/>
      <c r="Q53" s="2">
        <f t="shared" si="3"/>
        <v>105.09178327277544</v>
      </c>
      <c r="R53" s="2">
        <f t="shared" si="4"/>
        <v>222.48870230205611</v>
      </c>
      <c r="S53" s="2">
        <f t="shared" si="5"/>
        <v>1946.4594390361481</v>
      </c>
      <c r="T53" s="2"/>
      <c r="U53" s="2"/>
      <c r="V53" s="2"/>
      <c r="W53" s="2"/>
      <c r="X53" s="2"/>
      <c r="Y53" s="2"/>
      <c r="Z53" s="2"/>
    </row>
    <row r="54" spans="1:26" x14ac:dyDescent="0.2">
      <c r="A54" s="2">
        <v>7</v>
      </c>
      <c r="B54" s="2">
        <v>260709</v>
      </c>
      <c r="C54" s="2" t="s">
        <v>19</v>
      </c>
      <c r="D54" s="2" t="s">
        <v>58</v>
      </c>
      <c r="E54" s="2" t="s">
        <v>91</v>
      </c>
      <c r="F54" s="2">
        <v>2.002085416671525</v>
      </c>
      <c r="G54" s="2">
        <v>2.2691532488051989</v>
      </c>
      <c r="H54" s="2">
        <v>2.3051349712761682</v>
      </c>
      <c r="I54" s="2">
        <v>2.0936249059438801</v>
      </c>
      <c r="J54" s="2">
        <v>1.685522448285969</v>
      </c>
      <c r="K54" s="2">
        <v>1.6081588415725321</v>
      </c>
      <c r="L54" s="2">
        <v>1.5467499712584269</v>
      </c>
      <c r="M54" s="2">
        <v>1.5426175402986471</v>
      </c>
      <c r="N54" s="2">
        <v>23.47</v>
      </c>
      <c r="O54" s="2"/>
      <c r="P54" s="2"/>
      <c r="Q54" s="2">
        <f t="shared" si="3"/>
        <v>78.58727667790761</v>
      </c>
      <c r="R54" s="2">
        <f t="shared" si="4"/>
        <v>162.29235493554322</v>
      </c>
      <c r="S54" s="2">
        <f t="shared" si="5"/>
        <v>764.55589672469068</v>
      </c>
      <c r="T54" s="2"/>
      <c r="U54" s="2"/>
      <c r="V54" s="2"/>
      <c r="W54" s="2"/>
      <c r="X54" s="2"/>
      <c r="Y54" s="2"/>
      <c r="Z54" s="2"/>
    </row>
    <row r="55" spans="1:26" x14ac:dyDescent="0.2">
      <c r="A55" s="2">
        <v>7</v>
      </c>
      <c r="B55" s="2">
        <v>260709</v>
      </c>
      <c r="C55" s="2" t="s">
        <v>22</v>
      </c>
      <c r="D55" s="2" t="s">
        <v>58</v>
      </c>
      <c r="E55" s="2" t="s">
        <v>92</v>
      </c>
      <c r="F55" s="2">
        <v>1.8966608333525901</v>
      </c>
      <c r="G55" s="2">
        <v>2.299209642932269</v>
      </c>
      <c r="H55" s="2">
        <v>2.421192164900861</v>
      </c>
      <c r="I55" s="2">
        <v>2.183191112311702</v>
      </c>
      <c r="J55" s="2">
        <v>1.6635403759682039</v>
      </c>
      <c r="K55" s="2">
        <v>1.429532326586509</v>
      </c>
      <c r="L55" s="2">
        <v>1.259992381217562</v>
      </c>
      <c r="M55" s="2">
        <v>1.163053017326227</v>
      </c>
      <c r="N55" s="2">
        <v>8.5500000000000007</v>
      </c>
      <c r="O55" s="2"/>
      <c r="P55" s="2"/>
      <c r="Q55" s="2">
        <f t="shared" si="3"/>
        <v>71.994519355583748</v>
      </c>
      <c r="R55" s="2">
        <f t="shared" si="4"/>
        <v>175.06662858992553</v>
      </c>
      <c r="S55" s="2">
        <f t="shared" si="5"/>
        <v>744.29062505737375</v>
      </c>
      <c r="T55" s="2"/>
      <c r="U55" s="2"/>
      <c r="V55" s="2"/>
      <c r="W55" s="2"/>
      <c r="X55" s="2"/>
      <c r="Y55" s="2"/>
      <c r="Z55" s="2"/>
    </row>
    <row r="56" spans="1:26" x14ac:dyDescent="0.2">
      <c r="A56" s="2">
        <v>7</v>
      </c>
      <c r="B56" s="2">
        <v>260709</v>
      </c>
      <c r="C56" s="2" t="s">
        <v>24</v>
      </c>
      <c r="D56" s="2" t="s">
        <v>58</v>
      </c>
      <c r="E56" s="2" t="s">
        <v>93</v>
      </c>
      <c r="F56" s="2">
        <v>4.4121412540764986</v>
      </c>
      <c r="G56" s="2">
        <v>3.8756272752618388</v>
      </c>
      <c r="H56" s="2">
        <v>2.4303894911171451</v>
      </c>
      <c r="I56" s="2">
        <v>2.2644460643771849</v>
      </c>
      <c r="J56" s="2">
        <v>0.29039971188865638</v>
      </c>
      <c r="K56" s="2">
        <v>0.13666061785214639</v>
      </c>
      <c r="L56" s="2">
        <v>2.057171533563289</v>
      </c>
      <c r="M56" s="2">
        <v>0.21899489844226969</v>
      </c>
      <c r="N56" s="2">
        <v>3.23</v>
      </c>
      <c r="O56" s="2"/>
      <c r="P56" s="2"/>
      <c r="Q56" s="2">
        <f t="shared" si="3"/>
        <v>282.13470657215316</v>
      </c>
      <c r="R56" s="2">
        <f t="shared" si="4"/>
        <v>176.09326799067398</v>
      </c>
      <c r="S56" s="2">
        <f t="shared" si="5"/>
        <v>16.148197182749154</v>
      </c>
      <c r="T56" s="2"/>
      <c r="U56" s="2"/>
      <c r="V56" s="2"/>
      <c r="W56" s="2"/>
      <c r="X56" s="2"/>
      <c r="Y56" s="2"/>
      <c r="Z56" s="2"/>
    </row>
    <row r="57" spans="1:26" x14ac:dyDescent="0.2">
      <c r="A57" s="2">
        <v>7</v>
      </c>
      <c r="B57" s="2">
        <v>260709</v>
      </c>
      <c r="C57" s="2" t="s">
        <v>94</v>
      </c>
      <c r="D57" s="2" t="s">
        <v>58</v>
      </c>
      <c r="E57" s="2" t="s">
        <v>95</v>
      </c>
      <c r="F57" s="2">
        <v>2.8705770967667581</v>
      </c>
      <c r="G57" s="2">
        <v>2.9549974011623972</v>
      </c>
      <c r="H57" s="2">
        <v>3.2499959678210382</v>
      </c>
      <c r="I57" s="2">
        <v>3.4604604515270778</v>
      </c>
      <c r="J57" s="2">
        <v>3.0834763885814169</v>
      </c>
      <c r="K57" s="2">
        <v>2.8046129214430531</v>
      </c>
      <c r="L57" s="2">
        <v>2.435095367805614</v>
      </c>
      <c r="M57" s="2">
        <v>2.164501276385375</v>
      </c>
      <c r="N57" s="2">
        <v>3.73</v>
      </c>
      <c r="O57" s="2"/>
      <c r="P57" s="2"/>
      <c r="Q57" s="2">
        <f t="shared" si="3"/>
        <v>140.80987288367351</v>
      </c>
      <c r="R57" s="2">
        <f t="shared" si="4"/>
        <v>275.54814648245565</v>
      </c>
      <c r="S57" s="2">
        <f t="shared" si="5"/>
        <v>2600.8987117616734</v>
      </c>
      <c r="T57" s="2"/>
      <c r="U57" s="2"/>
      <c r="V57" s="2"/>
      <c r="W57" s="2"/>
      <c r="X57" s="2"/>
      <c r="Y57" s="2"/>
      <c r="Z57" s="2"/>
    </row>
    <row r="58" spans="1:26" x14ac:dyDescent="0.2">
      <c r="A58" s="2">
        <v>7</v>
      </c>
      <c r="B58" s="2">
        <v>260709</v>
      </c>
      <c r="C58" s="2" t="s">
        <v>96</v>
      </c>
      <c r="D58" s="2" t="s">
        <v>58</v>
      </c>
      <c r="E58" s="2" t="s">
        <v>97</v>
      </c>
      <c r="F58" s="2">
        <v>4.0661700412766972</v>
      </c>
      <c r="G58" s="2">
        <v>4.9262963353873266</v>
      </c>
      <c r="H58" s="2">
        <v>2.7448467691620819</v>
      </c>
      <c r="I58" s="2">
        <v>4.3949057710946038</v>
      </c>
      <c r="J58" s="2">
        <v>3.8592405728884329</v>
      </c>
      <c r="K58" s="2">
        <v>2.7005248913758981</v>
      </c>
      <c r="L58" s="2">
        <v>2.435374989024754</v>
      </c>
      <c r="M58" s="2">
        <v>2.3411729427859682</v>
      </c>
      <c r="N58" s="2">
        <v>3.73</v>
      </c>
      <c r="O58" s="2"/>
      <c r="P58" s="2"/>
      <c r="Q58" s="2">
        <f t="shared" si="3"/>
        <v>247.25219464498636</v>
      </c>
      <c r="R58" s="2">
        <f t="shared" si="4"/>
        <v>212.42286281197315</v>
      </c>
      <c r="S58" s="2">
        <f t="shared" si="5"/>
        <v>4081.272104940092</v>
      </c>
      <c r="T58" s="2"/>
      <c r="U58" s="2"/>
      <c r="V58" s="2"/>
      <c r="W58" s="2"/>
      <c r="X58" s="2"/>
      <c r="Y58" s="2"/>
      <c r="Z58" s="2"/>
    </row>
    <row r="59" spans="1:26" x14ac:dyDescent="0.2">
      <c r="A59" s="2">
        <v>7</v>
      </c>
      <c r="B59" s="2">
        <v>260709</v>
      </c>
      <c r="C59" s="2" t="s">
        <v>43</v>
      </c>
      <c r="D59" s="2" t="s">
        <v>58</v>
      </c>
      <c r="E59" s="2" t="s">
        <v>98</v>
      </c>
      <c r="F59" s="2">
        <v>6.3563258669107574</v>
      </c>
      <c r="G59" s="2">
        <v>7.0480413426013619</v>
      </c>
      <c r="H59" s="2">
        <v>3.8575091648218578</v>
      </c>
      <c r="I59" s="2">
        <v>4.1156977323817339</v>
      </c>
      <c r="J59" s="2">
        <v>1.9447050758146061</v>
      </c>
      <c r="K59" s="2">
        <v>1.188856333208564</v>
      </c>
      <c r="L59" s="2">
        <v>0.34723217688149072</v>
      </c>
      <c r="M59" s="2">
        <v>-0.10706280113249381</v>
      </c>
      <c r="N59" s="2">
        <v>6.53</v>
      </c>
      <c r="O59" s="2"/>
      <c r="P59" s="2"/>
      <c r="Q59" s="2">
        <f t="shared" si="3"/>
        <v>508.88562369916008</v>
      </c>
      <c r="R59" s="2">
        <f t="shared" si="4"/>
        <v>358.69490463091722</v>
      </c>
      <c r="S59" s="2">
        <f t="shared" si="5"/>
        <v>1023.7038716620468</v>
      </c>
      <c r="T59" s="2"/>
      <c r="U59" s="2"/>
      <c r="V59" s="2"/>
      <c r="W59" s="2"/>
      <c r="X59" s="2"/>
      <c r="Y59" s="2"/>
      <c r="Z59" s="2"/>
    </row>
    <row r="60" spans="1:26" x14ac:dyDescent="0.2">
      <c r="A60" s="2">
        <v>8</v>
      </c>
      <c r="B60" s="2">
        <v>260716</v>
      </c>
      <c r="C60" s="2" t="s">
        <v>45</v>
      </c>
      <c r="D60" s="2" t="s">
        <v>58</v>
      </c>
      <c r="E60" s="2" t="s">
        <v>99</v>
      </c>
      <c r="F60" s="2">
        <v>1.1089900831892181</v>
      </c>
      <c r="G60" s="2">
        <v>1.130194596486841</v>
      </c>
      <c r="H60" s="2">
        <v>0.96341904478053553</v>
      </c>
      <c r="I60" s="2">
        <v>0.81898272382817672</v>
      </c>
      <c r="J60" s="2">
        <v>0.70254836000644649</v>
      </c>
      <c r="K60" s="2">
        <v>0.74566007736558204</v>
      </c>
      <c r="L60" s="2">
        <v>0.84262749821982252</v>
      </c>
      <c r="M60" s="2">
        <v>0.99098395422609953</v>
      </c>
      <c r="N60" s="2"/>
      <c r="O60" s="2"/>
      <c r="P60" s="2"/>
      <c r="Q60" s="2">
        <f t="shared" si="3"/>
        <v>30.146714546155849</v>
      </c>
      <c r="R60" s="2">
        <f t="shared" si="4"/>
        <v>41.999048286055846</v>
      </c>
      <c r="S60" s="2">
        <f t="shared" si="5"/>
        <v>122.44415000293695</v>
      </c>
      <c r="T60" s="2"/>
      <c r="U60" s="2"/>
      <c r="V60" s="2"/>
      <c r="W60" s="2"/>
      <c r="X60" s="2"/>
      <c r="Y60" s="2"/>
      <c r="Z60" s="2"/>
    </row>
    <row r="61" spans="1:26" x14ac:dyDescent="0.2">
      <c r="A61" s="2">
        <v>8</v>
      </c>
      <c r="B61" s="2">
        <v>260716</v>
      </c>
      <c r="C61" s="2" t="s">
        <v>47</v>
      </c>
      <c r="D61" s="2" t="s">
        <v>58</v>
      </c>
      <c r="E61" s="2" t="s">
        <v>100</v>
      </c>
      <c r="F61" s="2">
        <v>1.204321702217737</v>
      </c>
      <c r="G61" s="2">
        <v>1.2159868609616971</v>
      </c>
      <c r="H61" s="2">
        <v>1.0328043479830471</v>
      </c>
      <c r="I61" s="2">
        <v>0.86104068880639528</v>
      </c>
      <c r="J61" s="2">
        <v>0.69595793718603749</v>
      </c>
      <c r="K61" s="2">
        <v>0.73509282284038957</v>
      </c>
      <c r="L61" s="2">
        <v>0.82220036927645634</v>
      </c>
      <c r="M61" s="2">
        <v>0.96563104643361042</v>
      </c>
      <c r="N61" s="2"/>
      <c r="O61" s="2"/>
      <c r="P61" s="2"/>
      <c r="Q61" s="2">
        <f t="shared" si="3"/>
        <v>34.467873531380981</v>
      </c>
      <c r="R61" s="2">
        <f t="shared" si="4"/>
        <v>46.803892488952712</v>
      </c>
      <c r="S61" s="2">
        <f t="shared" si="5"/>
        <v>119.97741339738438</v>
      </c>
      <c r="T61" s="2"/>
      <c r="U61" s="2"/>
      <c r="V61" s="2"/>
      <c r="W61" s="2"/>
      <c r="X61" s="2"/>
      <c r="Y61" s="2"/>
      <c r="Z61" s="2"/>
    </row>
    <row r="62" spans="1:26" x14ac:dyDescent="0.2">
      <c r="A62" s="2">
        <v>8</v>
      </c>
      <c r="B62" s="2">
        <v>260716</v>
      </c>
      <c r="C62" s="2" t="s">
        <v>49</v>
      </c>
      <c r="D62" s="2" t="s">
        <v>58</v>
      </c>
      <c r="E62" s="2" t="s">
        <v>101</v>
      </c>
      <c r="F62" s="2">
        <v>1.1341838289071471</v>
      </c>
      <c r="G62" s="2">
        <v>1.2588415931828949</v>
      </c>
      <c r="H62" s="2">
        <v>1.033722379051996</v>
      </c>
      <c r="I62" s="2">
        <v>0.77881650409717618</v>
      </c>
      <c r="J62" s="2">
        <v>0.57608586724362032</v>
      </c>
      <c r="K62" s="2">
        <v>0.56970420494711116</v>
      </c>
      <c r="L62" s="2">
        <v>0.61482939704413486</v>
      </c>
      <c r="M62" s="2">
        <v>0.73721359300862976</v>
      </c>
      <c r="N62" s="2"/>
      <c r="O62" s="2"/>
      <c r="P62" s="2"/>
      <c r="Q62" s="2">
        <f t="shared" si="3"/>
        <v>31.267254022044664</v>
      </c>
      <c r="R62" s="2">
        <f t="shared" si="4"/>
        <v>46.868668753030747</v>
      </c>
      <c r="S62" s="2">
        <f t="shared" si="5"/>
        <v>79.437467348394563</v>
      </c>
      <c r="T62" s="2"/>
      <c r="U62" s="2"/>
      <c r="V62" s="2"/>
      <c r="W62" s="2"/>
      <c r="X62" s="2"/>
      <c r="Y62" s="2"/>
      <c r="Z62" s="2"/>
    </row>
    <row r="63" spans="1:26" x14ac:dyDescent="0.2">
      <c r="A63" s="2">
        <v>8</v>
      </c>
      <c r="B63" s="2">
        <v>260716</v>
      </c>
      <c r="C63" s="2" t="s">
        <v>51</v>
      </c>
      <c r="D63" s="2" t="s">
        <v>58</v>
      </c>
      <c r="E63" s="2" t="s">
        <v>102</v>
      </c>
      <c r="F63" s="2">
        <v>1.9341184626558741</v>
      </c>
      <c r="G63" s="2">
        <v>2.0116826510757471</v>
      </c>
      <c r="H63" s="2">
        <v>2.1671876723263268</v>
      </c>
      <c r="I63" s="2">
        <v>1.9145538196624521</v>
      </c>
      <c r="J63" s="2">
        <v>1.612443535710437</v>
      </c>
      <c r="K63" s="2">
        <v>1.471671918412337</v>
      </c>
      <c r="L63" s="2">
        <v>1.555765416415912</v>
      </c>
      <c r="M63" s="2">
        <v>1.660719952960809</v>
      </c>
      <c r="N63" s="2"/>
      <c r="O63" s="2"/>
      <c r="P63" s="2"/>
      <c r="Q63" s="2">
        <f t="shared" si="3"/>
        <v>74.311774978983294</v>
      </c>
      <c r="R63" s="2">
        <f t="shared" si="4"/>
        <v>147.55145220751044</v>
      </c>
      <c r="S63" s="2">
        <f t="shared" si="5"/>
        <v>698.22181205034497</v>
      </c>
      <c r="T63" s="2"/>
      <c r="U63" s="2"/>
      <c r="V63" s="2"/>
      <c r="W63" s="2"/>
      <c r="X63" s="2"/>
      <c r="Y63" s="2"/>
      <c r="Z63" s="2"/>
    </row>
    <row r="64" spans="1:26" x14ac:dyDescent="0.2">
      <c r="A64" s="2">
        <v>8</v>
      </c>
      <c r="B64" s="2">
        <v>260716</v>
      </c>
      <c r="C64" s="2" t="s">
        <v>53</v>
      </c>
      <c r="D64" s="2" t="s">
        <v>58</v>
      </c>
      <c r="E64" s="2" t="s">
        <v>103</v>
      </c>
      <c r="F64" s="2">
        <v>2.8422445744153322</v>
      </c>
      <c r="G64" s="2">
        <v>3.3920244553181451</v>
      </c>
      <c r="H64" s="2">
        <v>3.3602959918512498</v>
      </c>
      <c r="I64" s="2">
        <v>2.8697019486171178</v>
      </c>
      <c r="J64" s="2">
        <v>2.3992527231160432</v>
      </c>
      <c r="K64" s="2">
        <v>2.171635668586378</v>
      </c>
      <c r="L64" s="2">
        <v>2.11148471235945</v>
      </c>
      <c r="M64" s="2">
        <v>2.1342996691150891</v>
      </c>
      <c r="N64" s="2"/>
      <c r="O64" s="2"/>
      <c r="P64" s="2"/>
      <c r="Q64" s="2">
        <f t="shared" si="3"/>
        <v>138.5685346138323</v>
      </c>
      <c r="R64" s="2">
        <f t="shared" si="4"/>
        <v>290.07485737145657</v>
      </c>
      <c r="S64" s="2">
        <f t="shared" si="5"/>
        <v>1567.8249879123621</v>
      </c>
      <c r="T64" s="2"/>
      <c r="U64" s="2"/>
      <c r="V64" s="2"/>
      <c r="W64" s="2"/>
      <c r="X64" s="2"/>
      <c r="Y64" s="2"/>
      <c r="Z64" s="2"/>
    </row>
    <row r="65" spans="1:26" x14ac:dyDescent="0.2">
      <c r="A65" s="2">
        <v>8</v>
      </c>
      <c r="B65" s="2">
        <v>260716</v>
      </c>
      <c r="C65" s="2" t="s">
        <v>75</v>
      </c>
      <c r="D65" s="2" t="s">
        <v>58</v>
      </c>
      <c r="E65" s="2" t="s">
        <v>104</v>
      </c>
      <c r="F65" s="2">
        <v>2.1566517605194151</v>
      </c>
      <c r="G65" s="2">
        <v>2.4058091897519169</v>
      </c>
      <c r="H65" s="2">
        <v>2.3915185492040938</v>
      </c>
      <c r="I65" s="2">
        <v>2.0841614290832662</v>
      </c>
      <c r="J65" s="2">
        <v>1.7570372138994961</v>
      </c>
      <c r="K65" s="2">
        <v>1.641427661605239</v>
      </c>
      <c r="L65" s="2">
        <v>1.606884921822781</v>
      </c>
      <c r="M65" s="2">
        <v>1.6899846969439429</v>
      </c>
      <c r="N65" s="2"/>
      <c r="O65" s="2"/>
      <c r="P65" s="2"/>
      <c r="Q65" s="2">
        <f t="shared" si="3"/>
        <v>88.644725572544857</v>
      </c>
      <c r="R65" s="2">
        <f t="shared" si="4"/>
        <v>171.76858768902173</v>
      </c>
      <c r="S65" s="2">
        <f t="shared" si="5"/>
        <v>832.34136464071923</v>
      </c>
      <c r="T65" s="2"/>
      <c r="U65" s="2"/>
      <c r="V65" s="2"/>
      <c r="W65" s="2"/>
      <c r="X65" s="2"/>
      <c r="Y65" s="2"/>
      <c r="Z65" s="2"/>
    </row>
    <row r="66" spans="1:26" x14ac:dyDescent="0.2">
      <c r="A66" s="2">
        <v>8</v>
      </c>
      <c r="B66" s="2">
        <v>260716</v>
      </c>
      <c r="C66" s="2" t="s">
        <v>36</v>
      </c>
      <c r="D66" s="2" t="s">
        <v>58</v>
      </c>
      <c r="E66" s="2" t="s">
        <v>105</v>
      </c>
      <c r="F66" s="2">
        <v>2.6332174049353791</v>
      </c>
      <c r="G66" s="2">
        <v>3.0557045082739709</v>
      </c>
      <c r="H66" s="2">
        <v>3.0341857459717771</v>
      </c>
      <c r="I66" s="2">
        <v>2.65844171118641</v>
      </c>
      <c r="J66" s="2">
        <v>2.2848132243002088</v>
      </c>
      <c r="K66" s="2">
        <v>2.0694953489583101</v>
      </c>
      <c r="L66" s="2">
        <v>1.954199292806905</v>
      </c>
      <c r="M66" s="2">
        <v>1.9280347791515</v>
      </c>
      <c r="N66" s="2"/>
      <c r="O66" s="2"/>
      <c r="P66" s="2"/>
      <c r="Q66" s="2">
        <f t="shared" ref="Q66:Q97" si="6">((F66- 0.00793) / 0.1333)^(1/0.6199)</f>
        <v>122.45957553645519</v>
      </c>
      <c r="R66" s="2">
        <f t="shared" ref="R66:R97" si="7">((H66- 0.0166) / 0.0825)^(1/0.6529)</f>
        <v>247.88472411504725</v>
      </c>
      <c r="S66" s="2">
        <f t="shared" ref="S66:S97" si="8">((J66- 0.06053) / 0.0561)^(1/0.507)</f>
        <v>1420.1098608204995</v>
      </c>
      <c r="T66" s="2"/>
      <c r="U66" s="2"/>
      <c r="V66" s="2"/>
      <c r="W66" s="2"/>
      <c r="X66" s="2"/>
      <c r="Y66" s="2"/>
      <c r="Z66" s="2"/>
    </row>
    <row r="67" spans="1:26" x14ac:dyDescent="0.2">
      <c r="A67" s="2">
        <v>9</v>
      </c>
      <c r="B67" s="2">
        <v>260728</v>
      </c>
      <c r="C67" s="2" t="s">
        <v>19</v>
      </c>
      <c r="D67" s="2" t="s">
        <v>58</v>
      </c>
      <c r="E67" s="2" t="s">
        <v>106</v>
      </c>
      <c r="F67" s="2">
        <v>2.3911090665096641</v>
      </c>
      <c r="G67" s="2">
        <v>2.3531691590319919</v>
      </c>
      <c r="H67" s="2">
        <v>2.8103577095838679</v>
      </c>
      <c r="I67" s="2">
        <v>2.742062831355784</v>
      </c>
      <c r="J67" s="2">
        <v>2.3036972867541441</v>
      </c>
      <c r="K67" s="2">
        <v>2.0920951976870201</v>
      </c>
      <c r="L67" s="2">
        <v>1.971948876026365</v>
      </c>
      <c r="M67" s="2">
        <v>1.881365520272414</v>
      </c>
      <c r="N67" s="2"/>
      <c r="O67" s="2"/>
      <c r="P67" s="2"/>
      <c r="Q67" s="2">
        <f t="shared" si="6"/>
        <v>104.76285697161923</v>
      </c>
      <c r="R67" s="2">
        <f t="shared" si="7"/>
        <v>220.28494759935694</v>
      </c>
      <c r="S67" s="2">
        <f t="shared" si="8"/>
        <v>1443.9884222662906</v>
      </c>
      <c r="T67" s="2"/>
      <c r="U67" s="2"/>
      <c r="V67" s="2"/>
      <c r="W67" s="2"/>
      <c r="X67" s="2"/>
      <c r="Y67" s="2"/>
      <c r="Z67" s="2"/>
    </row>
    <row r="68" spans="1:26" x14ac:dyDescent="0.2">
      <c r="A68" s="2">
        <v>9</v>
      </c>
      <c r="B68" s="2">
        <v>260728</v>
      </c>
      <c r="C68" s="2" t="s">
        <v>107</v>
      </c>
      <c r="D68" s="2" t="s">
        <v>58</v>
      </c>
      <c r="E68" s="2" t="s">
        <v>108</v>
      </c>
      <c r="F68" s="2">
        <v>1.816614513175089</v>
      </c>
      <c r="G68" s="2">
        <v>1.885571700205265</v>
      </c>
      <c r="H68" s="2">
        <v>2.160859074757699</v>
      </c>
      <c r="I68" s="2">
        <v>2.1191266313533679</v>
      </c>
      <c r="J68" s="2">
        <v>1.751960673631785</v>
      </c>
      <c r="K68" s="2">
        <v>1.55754369599475</v>
      </c>
      <c r="L68" s="2">
        <v>1.416913426574413</v>
      </c>
      <c r="M68" s="2">
        <v>1.398256588043103</v>
      </c>
      <c r="N68" s="2"/>
      <c r="O68" s="2"/>
      <c r="P68" s="2"/>
      <c r="Q68" s="2">
        <f t="shared" si="6"/>
        <v>67.136743022450489</v>
      </c>
      <c r="R68" s="2">
        <f t="shared" si="7"/>
        <v>146.88693360202021</v>
      </c>
      <c r="S68" s="2">
        <f t="shared" si="8"/>
        <v>827.4359770448558</v>
      </c>
      <c r="T68" s="2"/>
      <c r="U68" s="2"/>
      <c r="V68" s="2"/>
      <c r="W68" s="2"/>
      <c r="X68" s="2"/>
      <c r="Y68" s="2"/>
      <c r="Z68" s="2"/>
    </row>
    <row r="69" spans="1:26" x14ac:dyDescent="0.2">
      <c r="A69" s="2">
        <v>9</v>
      </c>
      <c r="B69" s="2">
        <v>260728</v>
      </c>
      <c r="C69" s="2" t="s">
        <v>109</v>
      </c>
      <c r="D69" s="2" t="s">
        <v>58</v>
      </c>
      <c r="E69" s="2" t="s">
        <v>110</v>
      </c>
      <c r="F69" s="2">
        <v>1.9244301665551691</v>
      </c>
      <c r="G69" s="2">
        <v>2.0700907793413839</v>
      </c>
      <c r="H69" s="2">
        <v>2.2814331000579799</v>
      </c>
      <c r="I69" s="2">
        <v>2.2368353704956849</v>
      </c>
      <c r="J69" s="2">
        <v>1.8354981952538261</v>
      </c>
      <c r="K69" s="2">
        <v>1.6548206267887251</v>
      </c>
      <c r="L69" s="2">
        <v>1.5078031128336831</v>
      </c>
      <c r="M69" s="2">
        <v>1.5168410938194961</v>
      </c>
      <c r="N69" s="2"/>
      <c r="O69" s="2"/>
      <c r="P69" s="2"/>
      <c r="Q69" s="2">
        <f t="shared" si="6"/>
        <v>73.709750744881262</v>
      </c>
      <c r="R69" s="2">
        <f t="shared" si="7"/>
        <v>159.72505106469879</v>
      </c>
      <c r="S69" s="2">
        <f t="shared" si="8"/>
        <v>909.97408080763194</v>
      </c>
      <c r="T69" s="2"/>
      <c r="U69" s="2"/>
      <c r="V69" s="2"/>
      <c r="W69" s="2"/>
      <c r="X69" s="2"/>
      <c r="Y69" s="2"/>
      <c r="Z69" s="2"/>
    </row>
    <row r="70" spans="1:26" x14ac:dyDescent="0.2">
      <c r="A70" s="2">
        <v>9</v>
      </c>
      <c r="B70" s="2">
        <v>260728</v>
      </c>
      <c r="C70" s="2" t="s">
        <v>24</v>
      </c>
      <c r="D70" s="2" t="s">
        <v>58</v>
      </c>
      <c r="E70" s="2" t="s">
        <v>111</v>
      </c>
      <c r="F70" s="2">
        <v>1.6999260851493909</v>
      </c>
      <c r="G70" s="2">
        <v>1.7138702945914801</v>
      </c>
      <c r="H70" s="2">
        <v>2.0131485151247341</v>
      </c>
      <c r="I70" s="2">
        <v>1.889436129504477</v>
      </c>
      <c r="J70" s="2">
        <v>1.5587209244161739</v>
      </c>
      <c r="K70" s="2">
        <v>1.4110260988745831</v>
      </c>
      <c r="L70" s="2">
        <v>1.389089009533691</v>
      </c>
      <c r="M70" s="2">
        <v>1.4108846584061749</v>
      </c>
      <c r="N70" s="2"/>
      <c r="O70" s="2"/>
      <c r="P70" s="2"/>
      <c r="Q70" s="2">
        <f t="shared" si="6"/>
        <v>60.28891454777191</v>
      </c>
      <c r="R70" s="2">
        <f t="shared" si="7"/>
        <v>131.67602025734834</v>
      </c>
      <c r="S70" s="2">
        <f t="shared" si="8"/>
        <v>651.35115664392879</v>
      </c>
      <c r="T70" s="2"/>
      <c r="U70" s="2"/>
      <c r="V70" s="2"/>
      <c r="W70" s="2"/>
      <c r="X70" s="2"/>
      <c r="Y70" s="2"/>
      <c r="Z70" s="2"/>
    </row>
    <row r="71" spans="1:26" x14ac:dyDescent="0.2">
      <c r="A71" s="2">
        <v>9</v>
      </c>
      <c r="B71" s="2">
        <v>260728</v>
      </c>
      <c r="C71" s="2" t="s">
        <v>26</v>
      </c>
      <c r="D71" s="2" t="s">
        <v>58</v>
      </c>
      <c r="E71" s="2" t="s">
        <v>112</v>
      </c>
      <c r="F71" s="2">
        <v>1.6594346422033479</v>
      </c>
      <c r="G71" s="2">
        <v>1.7514084433992909</v>
      </c>
      <c r="H71" s="2">
        <v>1.9150947705801591</v>
      </c>
      <c r="I71" s="2">
        <v>1.857286603926974</v>
      </c>
      <c r="J71" s="2">
        <v>1.59999797279335</v>
      </c>
      <c r="K71" s="2">
        <v>1.454760214837199</v>
      </c>
      <c r="L71" s="2">
        <v>1.3729028438234701</v>
      </c>
      <c r="M71" s="2">
        <v>1.365665852846528</v>
      </c>
      <c r="N71" s="2"/>
      <c r="O71" s="2"/>
      <c r="P71" s="2"/>
      <c r="Q71" s="2">
        <f t="shared" si="6"/>
        <v>57.978597216152771</v>
      </c>
      <c r="R71" s="2">
        <f t="shared" si="7"/>
        <v>121.90156368775529</v>
      </c>
      <c r="S71" s="2">
        <f t="shared" si="8"/>
        <v>687.22072210046508</v>
      </c>
      <c r="T71" s="2"/>
      <c r="U71" s="2"/>
      <c r="V71" s="2"/>
      <c r="W71" s="2"/>
      <c r="X71" s="2"/>
      <c r="Y71" s="2"/>
      <c r="Z71" s="2"/>
    </row>
    <row r="72" spans="1:26" x14ac:dyDescent="0.2">
      <c r="A72" s="2">
        <v>9</v>
      </c>
      <c r="B72" s="2">
        <v>260728</v>
      </c>
      <c r="C72" s="2" t="s">
        <v>43</v>
      </c>
      <c r="D72" s="2" t="s">
        <v>58</v>
      </c>
      <c r="E72" s="2" t="s">
        <v>113</v>
      </c>
      <c r="F72" s="2">
        <v>2.0465749939390512</v>
      </c>
      <c r="G72" s="2">
        <v>2.0773601855077271</v>
      </c>
      <c r="H72" s="2">
        <v>2.339590811984825</v>
      </c>
      <c r="I72" s="2">
        <v>2.127058608148138</v>
      </c>
      <c r="J72" s="2">
        <v>1.787767689897453</v>
      </c>
      <c r="K72" s="2">
        <v>1.628085868023015</v>
      </c>
      <c r="L72" s="2">
        <v>1.6047763471166541</v>
      </c>
      <c r="M72" s="2">
        <v>1.611661280078732</v>
      </c>
      <c r="N72" s="2"/>
      <c r="O72" s="2"/>
      <c r="P72" s="2"/>
      <c r="Q72" s="2">
        <f t="shared" si="6"/>
        <v>81.434895442349145</v>
      </c>
      <c r="R72" s="2">
        <f t="shared" si="7"/>
        <v>166.04975334170459</v>
      </c>
      <c r="S72" s="2">
        <f t="shared" si="8"/>
        <v>862.34089843829554</v>
      </c>
      <c r="T72" s="2"/>
      <c r="U72" s="2"/>
      <c r="V72" s="2"/>
      <c r="W72" s="2"/>
      <c r="X72" s="2"/>
      <c r="Y72" s="2"/>
      <c r="Z72" s="2"/>
    </row>
    <row r="73" spans="1:26" x14ac:dyDescent="0.2">
      <c r="A73" s="2">
        <v>9</v>
      </c>
      <c r="B73" s="2">
        <v>260728</v>
      </c>
      <c r="C73" s="2" t="s">
        <v>114</v>
      </c>
      <c r="D73" s="2" t="s">
        <v>58</v>
      </c>
      <c r="E73" s="2" t="s">
        <v>115</v>
      </c>
      <c r="F73" s="2">
        <v>3.2939635206469342</v>
      </c>
      <c r="G73" s="2">
        <v>3.3974354298870142</v>
      </c>
      <c r="H73" s="2">
        <v>3.847262642530108</v>
      </c>
      <c r="I73" s="2">
        <v>3.6649712270008661</v>
      </c>
      <c r="J73" s="2">
        <v>3.467282511561014</v>
      </c>
      <c r="K73" s="2">
        <v>3.2381196945062798</v>
      </c>
      <c r="L73" s="2">
        <v>3.1199909569537452</v>
      </c>
      <c r="M73" s="2">
        <v>3.0370642801962999</v>
      </c>
      <c r="N73" s="2"/>
      <c r="O73" s="2"/>
      <c r="P73" s="2"/>
      <c r="Q73" s="2">
        <f t="shared" si="6"/>
        <v>175.90101014211731</v>
      </c>
      <c r="R73" s="2">
        <f t="shared" si="7"/>
        <v>357.2303256856012</v>
      </c>
      <c r="S73" s="2">
        <f t="shared" si="8"/>
        <v>3292.3826377001647</v>
      </c>
      <c r="T73" s="2"/>
      <c r="U73" s="2"/>
      <c r="V73" s="2"/>
      <c r="W73" s="2"/>
      <c r="X73" s="2"/>
      <c r="Y73" s="2"/>
      <c r="Z73" s="2"/>
    </row>
    <row r="74" spans="1:26" x14ac:dyDescent="0.2">
      <c r="A74" s="2">
        <v>9</v>
      </c>
      <c r="B74" s="2">
        <v>260728</v>
      </c>
      <c r="C74" s="2" t="s">
        <v>116</v>
      </c>
      <c r="D74" s="2" t="s">
        <v>58</v>
      </c>
      <c r="E74" s="2" t="s">
        <v>117</v>
      </c>
      <c r="F74" s="2">
        <v>4.6954866911633504</v>
      </c>
      <c r="G74" s="2">
        <v>4.9531560597915876</v>
      </c>
      <c r="H74" s="2">
        <v>5.2404274406270366</v>
      </c>
      <c r="I74" s="2">
        <v>4.9928729224806334</v>
      </c>
      <c r="J74" s="2">
        <v>4.48519937983946</v>
      </c>
      <c r="K74" s="2">
        <v>4.1911459936837989</v>
      </c>
      <c r="L74" s="2">
        <v>3.984547003635682</v>
      </c>
      <c r="M74" s="2">
        <v>3.8891683963912991</v>
      </c>
      <c r="N74" s="2"/>
      <c r="O74" s="2"/>
      <c r="P74" s="2"/>
      <c r="Q74" s="2">
        <f t="shared" si="6"/>
        <v>311.98835420337838</v>
      </c>
      <c r="R74" s="2">
        <f t="shared" si="7"/>
        <v>574.48867686614199</v>
      </c>
      <c r="S74" s="2">
        <f t="shared" si="8"/>
        <v>5513.8576467641788</v>
      </c>
      <c r="T74" s="2"/>
      <c r="U74" s="2"/>
      <c r="V74" s="2"/>
      <c r="W74" s="2"/>
      <c r="X74" s="2"/>
      <c r="Y74" s="2"/>
      <c r="Z74" s="2"/>
    </row>
    <row r="75" spans="1:26" x14ac:dyDescent="0.2">
      <c r="A75" s="2">
        <v>9</v>
      </c>
      <c r="B75" s="2">
        <v>260728</v>
      </c>
      <c r="C75" s="2" t="s">
        <v>34</v>
      </c>
      <c r="D75" s="2" t="s">
        <v>58</v>
      </c>
      <c r="E75" s="2" t="s">
        <v>118</v>
      </c>
      <c r="F75" s="2">
        <v>2.7665920206081509</v>
      </c>
      <c r="G75" s="2">
        <v>2.7320665672212709</v>
      </c>
      <c r="H75" s="2">
        <v>3.2554217563334711</v>
      </c>
      <c r="I75" s="2">
        <v>3.1767182722283782</v>
      </c>
      <c r="J75" s="2">
        <v>2.708144486041471</v>
      </c>
      <c r="K75" s="2">
        <v>2.3953966910125781</v>
      </c>
      <c r="L75" s="2">
        <v>2.2669922991814051</v>
      </c>
      <c r="M75" s="2">
        <v>2.207079548860007</v>
      </c>
      <c r="N75" s="2"/>
      <c r="O75" s="2"/>
      <c r="P75" s="2"/>
      <c r="Q75" s="2">
        <f t="shared" si="6"/>
        <v>132.65104431830164</v>
      </c>
      <c r="R75" s="2">
        <f t="shared" si="7"/>
        <v>276.25666045147597</v>
      </c>
      <c r="S75" s="2">
        <f t="shared" si="8"/>
        <v>2002.4510474251149</v>
      </c>
      <c r="T75" s="2"/>
      <c r="U75" s="2"/>
      <c r="V75" s="2"/>
      <c r="W75" s="2"/>
      <c r="X75" s="2"/>
      <c r="Y75" s="2"/>
      <c r="Z75" s="2"/>
    </row>
    <row r="76" spans="1:26" x14ac:dyDescent="0.2">
      <c r="A76" s="2">
        <v>10</v>
      </c>
      <c r="B76" s="2">
        <v>260805</v>
      </c>
      <c r="C76" s="2" t="s">
        <v>45</v>
      </c>
      <c r="D76" s="2" t="s">
        <v>58</v>
      </c>
      <c r="E76" s="2" t="s">
        <v>119</v>
      </c>
      <c r="F76" s="2">
        <v>1.79610794507998</v>
      </c>
      <c r="G76" s="2">
        <v>1.7949875558633419</v>
      </c>
      <c r="H76" s="2">
        <v>1.4604588602583131</v>
      </c>
      <c r="I76" s="2">
        <v>1.1808479870834609</v>
      </c>
      <c r="J76" s="2">
        <v>0.96173505067629361</v>
      </c>
      <c r="K76" s="2">
        <v>0.95674118579946243</v>
      </c>
      <c r="L76" s="2">
        <v>1.0126060795068239</v>
      </c>
      <c r="M76" s="2">
        <v>1.1469214840790789</v>
      </c>
      <c r="N76" s="2">
        <v>6.77</v>
      </c>
      <c r="O76" s="2"/>
      <c r="P76" s="2"/>
      <c r="Q76" s="2">
        <f t="shared" si="6"/>
        <v>65.913101099757952</v>
      </c>
      <c r="R76" s="2">
        <f t="shared" si="7"/>
        <v>80.1534432580887</v>
      </c>
      <c r="S76" s="2">
        <f t="shared" si="8"/>
        <v>239.01413280108105</v>
      </c>
      <c r="T76" s="2"/>
      <c r="U76" s="2"/>
      <c r="V76" s="2"/>
      <c r="W76" s="2"/>
      <c r="X76" s="2"/>
      <c r="Y76" s="2"/>
      <c r="Z76" s="2"/>
    </row>
    <row r="77" spans="1:26" x14ac:dyDescent="0.2">
      <c r="A77" s="2">
        <v>10</v>
      </c>
      <c r="B77" s="2">
        <v>260805</v>
      </c>
      <c r="C77" s="2" t="s">
        <v>47</v>
      </c>
      <c r="D77" s="2" t="s">
        <v>58</v>
      </c>
      <c r="E77" s="2" t="s">
        <v>120</v>
      </c>
      <c r="F77" s="2">
        <v>1.3217054816111691</v>
      </c>
      <c r="G77" s="2">
        <v>1.4688218453320521</v>
      </c>
      <c r="H77" s="2">
        <v>1.418138434669014</v>
      </c>
      <c r="I77" s="2">
        <v>1.171030645143134</v>
      </c>
      <c r="J77" s="2">
        <v>0.95248051211108342</v>
      </c>
      <c r="K77" s="2">
        <v>0.92967156578328358</v>
      </c>
      <c r="L77" s="2">
        <v>0.99175795925700072</v>
      </c>
      <c r="M77" s="2">
        <v>1.103643327145148</v>
      </c>
      <c r="N77" s="2">
        <v>6.25</v>
      </c>
      <c r="O77" s="2"/>
      <c r="P77" s="2"/>
      <c r="Q77" s="2">
        <f t="shared" si="6"/>
        <v>40.085376825338493</v>
      </c>
      <c r="R77" s="2">
        <f t="shared" si="7"/>
        <v>76.583279752107245</v>
      </c>
      <c r="S77" s="2">
        <f t="shared" si="8"/>
        <v>234.19717533233771</v>
      </c>
      <c r="T77" s="2"/>
      <c r="U77" s="2"/>
      <c r="V77" s="2"/>
      <c r="W77" s="2"/>
      <c r="X77" s="2"/>
      <c r="Y77" s="2"/>
      <c r="Z77" s="2"/>
    </row>
    <row r="78" spans="1:26" x14ac:dyDescent="0.2">
      <c r="A78" s="2">
        <v>10</v>
      </c>
      <c r="B78" s="2">
        <v>260805</v>
      </c>
      <c r="C78" s="2" t="s">
        <v>49</v>
      </c>
      <c r="D78" s="2" t="s">
        <v>58</v>
      </c>
      <c r="E78" s="2" t="s">
        <v>121</v>
      </c>
      <c r="F78" s="2">
        <v>1.746129153601248</v>
      </c>
      <c r="G78" s="2">
        <v>1.814646067533942</v>
      </c>
      <c r="H78" s="2">
        <v>2.0951226981927662</v>
      </c>
      <c r="I78" s="2">
        <v>1.8779784142727081</v>
      </c>
      <c r="J78" s="2">
        <v>1.517054355673604</v>
      </c>
      <c r="K78" s="2">
        <v>1.400676274995696</v>
      </c>
      <c r="L78" s="2">
        <v>1.3845926540685449</v>
      </c>
      <c r="M78" s="2">
        <v>1.43861629737646</v>
      </c>
      <c r="N78" s="2">
        <v>10.51</v>
      </c>
      <c r="O78" s="2"/>
      <c r="P78" s="2"/>
      <c r="Q78" s="2">
        <f t="shared" si="6"/>
        <v>62.966820981097896</v>
      </c>
      <c r="R78" s="2">
        <f t="shared" si="7"/>
        <v>140.046334400962</v>
      </c>
      <c r="S78" s="2">
        <f t="shared" si="8"/>
        <v>616.10483252745814</v>
      </c>
      <c r="T78" s="2"/>
      <c r="U78" s="2"/>
      <c r="V78" s="2"/>
      <c r="W78" s="2"/>
      <c r="X78" s="2"/>
      <c r="Y78" s="2"/>
      <c r="Z78" s="2"/>
    </row>
    <row r="79" spans="1:26" x14ac:dyDescent="0.2">
      <c r="A79" s="2">
        <v>10</v>
      </c>
      <c r="B79" s="2">
        <v>260805</v>
      </c>
      <c r="C79" s="2" t="s">
        <v>51</v>
      </c>
      <c r="D79" s="2" t="s">
        <v>58</v>
      </c>
      <c r="E79" s="2" t="s">
        <v>122</v>
      </c>
      <c r="F79" s="2">
        <v>2.0467942072848548</v>
      </c>
      <c r="G79" s="2">
        <v>2.2207594432463371</v>
      </c>
      <c r="H79" s="2">
        <v>2.4143690308011099</v>
      </c>
      <c r="I79" s="2">
        <v>2.2545806834314162</v>
      </c>
      <c r="J79" s="2">
        <v>1.824153844740926</v>
      </c>
      <c r="K79" s="2">
        <v>1.6560024890046501</v>
      </c>
      <c r="L79" s="2">
        <v>1.533412658134913</v>
      </c>
      <c r="M79" s="2">
        <v>1.5289216812424571</v>
      </c>
      <c r="N79" s="2">
        <v>6.83</v>
      </c>
      <c r="O79" s="2"/>
      <c r="P79" s="2"/>
      <c r="Q79" s="2">
        <f t="shared" si="6"/>
        <v>81.449021748330807</v>
      </c>
      <c r="R79" s="2">
        <f t="shared" si="7"/>
        <v>174.30635248795096</v>
      </c>
      <c r="S79" s="2">
        <f t="shared" si="8"/>
        <v>898.53849508299857</v>
      </c>
      <c r="T79" s="2"/>
      <c r="U79" s="2"/>
      <c r="V79" s="2"/>
      <c r="W79" s="2"/>
      <c r="X79" s="2"/>
      <c r="Y79" s="2"/>
      <c r="Z79" s="2"/>
    </row>
    <row r="80" spans="1:26" x14ac:dyDescent="0.2">
      <c r="A80" s="2">
        <v>10</v>
      </c>
      <c r="B80" s="2">
        <v>260805</v>
      </c>
      <c r="C80" s="2" t="s">
        <v>53</v>
      </c>
      <c r="D80" s="2" t="s">
        <v>58</v>
      </c>
      <c r="E80" s="2" t="s">
        <v>123</v>
      </c>
      <c r="F80" s="2">
        <v>2.6430909655315258</v>
      </c>
      <c r="G80" s="2">
        <v>2.6436210362017789</v>
      </c>
      <c r="H80" s="2">
        <v>2.994666709263019</v>
      </c>
      <c r="I80" s="2">
        <v>3.0585689189139229</v>
      </c>
      <c r="J80" s="2">
        <v>2.619103125688913</v>
      </c>
      <c r="K80" s="2">
        <v>2.364646614110645</v>
      </c>
      <c r="L80" s="2">
        <v>2.0715180256816592</v>
      </c>
      <c r="M80" s="2">
        <v>1.926047354970396</v>
      </c>
      <c r="N80" s="2">
        <v>9.2100000000000009</v>
      </c>
      <c r="O80" s="2"/>
      <c r="P80" s="2"/>
      <c r="Q80" s="2">
        <f t="shared" si="6"/>
        <v>123.20339627208625</v>
      </c>
      <c r="R80" s="2">
        <f t="shared" si="7"/>
        <v>242.92985461862079</v>
      </c>
      <c r="S80" s="2">
        <f t="shared" si="8"/>
        <v>1871.7951976378108</v>
      </c>
      <c r="T80" s="2"/>
      <c r="U80" s="2"/>
      <c r="V80" s="2"/>
      <c r="W80" s="2"/>
      <c r="X80" s="2"/>
      <c r="Y80" s="2"/>
      <c r="Z80" s="2"/>
    </row>
    <row r="81" spans="1:26" x14ac:dyDescent="0.2">
      <c r="A81" s="2">
        <v>10</v>
      </c>
      <c r="B81" s="2">
        <v>260805</v>
      </c>
      <c r="C81" s="2" t="s">
        <v>114</v>
      </c>
      <c r="D81" s="2" t="s">
        <v>58</v>
      </c>
      <c r="E81" s="2" t="s">
        <v>124</v>
      </c>
      <c r="F81" s="2">
        <v>3.6840396180005821</v>
      </c>
      <c r="G81" s="2">
        <v>3.9265647647790982</v>
      </c>
      <c r="H81" s="2">
        <v>4.3107547480610746</v>
      </c>
      <c r="I81" s="2">
        <v>4.3382482174078927</v>
      </c>
      <c r="J81" s="2">
        <v>3.5575862607491282</v>
      </c>
      <c r="K81" s="2">
        <v>3.2619495860898482</v>
      </c>
      <c r="L81" s="2">
        <v>2.7411340004304878</v>
      </c>
      <c r="M81" s="2">
        <v>2.4159787372117409</v>
      </c>
      <c r="N81" s="2">
        <v>2.75</v>
      </c>
      <c r="O81" s="2"/>
      <c r="P81" s="2"/>
      <c r="Q81" s="2">
        <f t="shared" si="6"/>
        <v>210.79288631116506</v>
      </c>
      <c r="R81" s="2">
        <f t="shared" si="7"/>
        <v>425.52283521315223</v>
      </c>
      <c r="S81" s="2">
        <f t="shared" si="8"/>
        <v>3466.7348580321577</v>
      </c>
      <c r="T81" s="2"/>
      <c r="U81" s="2"/>
      <c r="V81" s="2"/>
      <c r="W81" s="2"/>
      <c r="X81" s="2"/>
      <c r="Y81" s="2"/>
      <c r="Z81" s="2"/>
    </row>
    <row r="82" spans="1:26" x14ac:dyDescent="0.2">
      <c r="A82" s="2">
        <v>10</v>
      </c>
      <c r="B82" s="2">
        <v>260805</v>
      </c>
      <c r="C82" s="2" t="s">
        <v>116</v>
      </c>
      <c r="D82" s="2" t="s">
        <v>58</v>
      </c>
      <c r="E82" s="2" t="s">
        <v>125</v>
      </c>
      <c r="F82" s="2">
        <v>3.931166299062296</v>
      </c>
      <c r="G82" s="2">
        <v>3.9453835119675391</v>
      </c>
      <c r="H82" s="2">
        <v>4.3195683843959101</v>
      </c>
      <c r="I82" s="2">
        <v>4.7031861315613508</v>
      </c>
      <c r="J82" s="2">
        <v>4.1822605671174378</v>
      </c>
      <c r="K82" s="2">
        <v>3.6475188224942241</v>
      </c>
      <c r="L82" s="2">
        <v>3.3757788022610251</v>
      </c>
      <c r="M82" s="2">
        <v>2.9570505586189548</v>
      </c>
      <c r="N82" s="2">
        <v>2.75</v>
      </c>
      <c r="O82" s="2"/>
      <c r="P82" s="2"/>
      <c r="Q82" s="2">
        <f t="shared" si="6"/>
        <v>234.11946224009171</v>
      </c>
      <c r="R82" s="2">
        <f t="shared" si="7"/>
        <v>426.86124911366602</v>
      </c>
      <c r="S82" s="2">
        <f t="shared" si="8"/>
        <v>4794.0617624637562</v>
      </c>
      <c r="T82" s="2"/>
      <c r="U82" s="2"/>
      <c r="V82" s="2"/>
      <c r="W82" s="2"/>
      <c r="X82" s="2"/>
      <c r="Y82" s="2"/>
      <c r="Z82" s="2"/>
    </row>
    <row r="83" spans="1:26" x14ac:dyDescent="0.2">
      <c r="A83" s="2">
        <v>10</v>
      </c>
      <c r="B83" s="2">
        <v>260805</v>
      </c>
      <c r="C83" s="2" t="s">
        <v>34</v>
      </c>
      <c r="D83" s="2" t="s">
        <v>58</v>
      </c>
      <c r="E83" s="2" t="s">
        <v>126</v>
      </c>
      <c r="F83" s="2">
        <v>2.9819242645061901</v>
      </c>
      <c r="G83" s="2">
        <v>2.8073174031723251</v>
      </c>
      <c r="H83" s="2">
        <v>3.3571756725251229</v>
      </c>
      <c r="I83" s="2">
        <v>3.4646498255893219</v>
      </c>
      <c r="J83" s="2">
        <v>3.0163287617046248</v>
      </c>
      <c r="K83" s="2">
        <v>2.79296306578135</v>
      </c>
      <c r="L83" s="2">
        <v>2.5216956434263529</v>
      </c>
      <c r="M83" s="2">
        <v>2.2647630674142709</v>
      </c>
      <c r="N83" s="2">
        <v>5.84</v>
      </c>
      <c r="O83" s="2"/>
      <c r="P83" s="2"/>
      <c r="Q83" s="2">
        <f t="shared" si="6"/>
        <v>149.75004374244318</v>
      </c>
      <c r="R83" s="2">
        <f t="shared" si="7"/>
        <v>289.66035414386062</v>
      </c>
      <c r="S83" s="2">
        <f t="shared" si="8"/>
        <v>2488.1792268985164</v>
      </c>
      <c r="T83" s="2"/>
      <c r="U83" s="2"/>
      <c r="V83" s="2"/>
      <c r="W83" s="2"/>
      <c r="X83" s="2"/>
      <c r="Y83" s="2"/>
      <c r="Z83" s="2"/>
    </row>
    <row r="84" spans="1:26" x14ac:dyDescent="0.2">
      <c r="A84" s="2">
        <v>10</v>
      </c>
      <c r="B84" s="2">
        <v>260805</v>
      </c>
      <c r="C84" s="2" t="s">
        <v>75</v>
      </c>
      <c r="D84" s="2" t="s">
        <v>58</v>
      </c>
      <c r="E84" s="2" t="s">
        <v>127</v>
      </c>
      <c r="F84" s="2">
        <v>1.8194865572273371</v>
      </c>
      <c r="G84" s="2">
        <v>1.719074494273702</v>
      </c>
      <c r="H84" s="2">
        <v>2.0891113321794701</v>
      </c>
      <c r="I84" s="2">
        <v>2.1521174880346599</v>
      </c>
      <c r="J84" s="2">
        <v>1.8781842838538609</v>
      </c>
      <c r="K84" s="2">
        <v>1.718901751095542</v>
      </c>
      <c r="L84" s="2">
        <v>1.659062959492217</v>
      </c>
      <c r="M84" s="2">
        <v>1.609239671414868</v>
      </c>
      <c r="N84" s="2">
        <v>8.9499999999999993</v>
      </c>
      <c r="O84" s="2"/>
      <c r="P84" s="2"/>
      <c r="Q84" s="2">
        <f t="shared" si="6"/>
        <v>67.308802357762431</v>
      </c>
      <c r="R84" s="2">
        <f t="shared" si="7"/>
        <v>139.42645197281195</v>
      </c>
      <c r="S84" s="2">
        <f t="shared" si="8"/>
        <v>953.64217563080888</v>
      </c>
      <c r="T84" s="2"/>
      <c r="U84" s="2"/>
      <c r="V84" s="2"/>
      <c r="W84" s="2"/>
      <c r="X84" s="2"/>
      <c r="Y84" s="2"/>
      <c r="Z84" s="2"/>
    </row>
    <row r="85" spans="1:26" x14ac:dyDescent="0.2">
      <c r="A85" s="2">
        <v>11</v>
      </c>
      <c r="B85" s="2">
        <v>260811</v>
      </c>
      <c r="C85" s="2" t="s">
        <v>36</v>
      </c>
      <c r="D85" s="2" t="s">
        <v>58</v>
      </c>
      <c r="E85" s="2" t="s">
        <v>128</v>
      </c>
      <c r="F85" s="2">
        <v>2.16385577566182</v>
      </c>
      <c r="G85" s="2">
        <v>2.06174927059591</v>
      </c>
      <c r="H85" s="2">
        <v>2.3795028510977358</v>
      </c>
      <c r="I85" s="2">
        <v>2.4195544093410679</v>
      </c>
      <c r="J85" s="2">
        <v>2.030768066557771</v>
      </c>
      <c r="K85" s="2">
        <v>1.8694514042907731</v>
      </c>
      <c r="L85" s="2">
        <v>1.7008116565019751</v>
      </c>
      <c r="M85" s="2">
        <v>1.6576230980038611</v>
      </c>
      <c r="N85" s="2">
        <v>6.71</v>
      </c>
      <c r="O85" s="2"/>
      <c r="P85" s="2"/>
      <c r="Q85" s="2">
        <f t="shared" si="6"/>
        <v>89.124648698253893</v>
      </c>
      <c r="R85" s="2">
        <f t="shared" si="7"/>
        <v>170.43932001913197</v>
      </c>
      <c r="S85" s="2">
        <f t="shared" si="8"/>
        <v>1117.978928957039</v>
      </c>
      <c r="T85" s="2"/>
      <c r="U85" s="2"/>
      <c r="V85" s="2"/>
      <c r="W85" s="2"/>
      <c r="X85" s="2"/>
      <c r="Y85" s="2"/>
      <c r="Z85" s="2"/>
    </row>
    <row r="86" spans="1:26" x14ac:dyDescent="0.2">
      <c r="A86" s="2">
        <v>11</v>
      </c>
      <c r="B86" s="2">
        <v>260811</v>
      </c>
      <c r="C86" s="2" t="s">
        <v>19</v>
      </c>
      <c r="D86" s="2" t="s">
        <v>58</v>
      </c>
      <c r="E86" s="2" t="s">
        <v>129</v>
      </c>
      <c r="F86" s="2">
        <v>1.71640575996891</v>
      </c>
      <c r="G86" s="2">
        <v>1.8499025594238669</v>
      </c>
      <c r="H86" s="2">
        <v>2.0616262967302799</v>
      </c>
      <c r="I86" s="2">
        <v>2.0274804824578232</v>
      </c>
      <c r="J86" s="2">
        <v>1.612094859409146</v>
      </c>
      <c r="K86" s="2">
        <v>1.367443241707514</v>
      </c>
      <c r="L86" s="2">
        <v>1.199662208250184</v>
      </c>
      <c r="M86" s="2">
        <v>1.14361016881419</v>
      </c>
      <c r="N86" s="2">
        <v>15.14</v>
      </c>
      <c r="O86" s="2"/>
      <c r="P86" s="2"/>
      <c r="Q86" s="2">
        <f t="shared" si="6"/>
        <v>61.238990623681417</v>
      </c>
      <c r="R86" s="2">
        <f t="shared" si="7"/>
        <v>136.60442577462567</v>
      </c>
      <c r="S86" s="2">
        <f t="shared" si="8"/>
        <v>697.91243156333837</v>
      </c>
      <c r="T86" s="2"/>
      <c r="U86" s="2"/>
      <c r="V86" s="2"/>
      <c r="W86" s="2"/>
      <c r="X86" s="2"/>
      <c r="Y86" s="2"/>
      <c r="Z86" s="2"/>
    </row>
    <row r="87" spans="1:26" x14ac:dyDescent="0.2">
      <c r="A87" s="2">
        <v>11</v>
      </c>
      <c r="B87" s="2">
        <v>260811</v>
      </c>
      <c r="C87" s="2" t="s">
        <v>22</v>
      </c>
      <c r="D87" s="2" t="s">
        <v>58</v>
      </c>
      <c r="E87" s="2" t="s">
        <v>130</v>
      </c>
      <c r="F87" s="2">
        <v>1.7131381692499299</v>
      </c>
      <c r="G87" s="2">
        <v>1.640049304655905</v>
      </c>
      <c r="H87" s="2">
        <v>2.117202842833978</v>
      </c>
      <c r="I87" s="2">
        <v>2.0289500786926071</v>
      </c>
      <c r="J87" s="2">
        <v>1.7104709685611359</v>
      </c>
      <c r="K87" s="2">
        <v>1.507762709511139</v>
      </c>
      <c r="L87" s="2">
        <v>1.356680423324647</v>
      </c>
      <c r="M87" s="2">
        <v>1.264575658090902</v>
      </c>
      <c r="N87" s="2">
        <v>4.28</v>
      </c>
      <c r="O87" s="2"/>
      <c r="P87" s="2"/>
      <c r="Q87" s="2">
        <f t="shared" si="6"/>
        <v>61.050160868958507</v>
      </c>
      <c r="R87" s="2">
        <f t="shared" si="7"/>
        <v>142.33137966431372</v>
      </c>
      <c r="S87" s="2">
        <f t="shared" si="8"/>
        <v>787.88102492785822</v>
      </c>
      <c r="T87" s="2"/>
      <c r="U87" s="2"/>
      <c r="V87" s="2"/>
      <c r="W87" s="2"/>
      <c r="X87" s="2"/>
      <c r="Y87" s="2"/>
      <c r="Z87" s="2"/>
    </row>
    <row r="88" spans="1:26" x14ac:dyDescent="0.2">
      <c r="A88" s="2">
        <v>11</v>
      </c>
      <c r="B88" s="2">
        <v>260811</v>
      </c>
      <c r="C88" s="2" t="s">
        <v>24</v>
      </c>
      <c r="D88" s="2" t="s">
        <v>58</v>
      </c>
      <c r="E88" s="2" t="s">
        <v>131</v>
      </c>
      <c r="F88" s="2">
        <v>2.5139391719032931E-2</v>
      </c>
      <c r="G88" s="2">
        <v>2.5635436535568958E-2</v>
      </c>
      <c r="H88" s="2">
        <v>2.7637240931799509E-2</v>
      </c>
      <c r="I88" s="2">
        <v>3.1457014172041352E-2</v>
      </c>
      <c r="J88" s="2">
        <v>2.945081507967463E-2</v>
      </c>
      <c r="K88" s="2">
        <v>2.7034575156679862E-2</v>
      </c>
      <c r="L88" s="2">
        <v>2.3425909619042531E-2</v>
      </c>
      <c r="M88" s="2">
        <v>2.12817113324631E-2</v>
      </c>
      <c r="N88" s="2">
        <v>3.03</v>
      </c>
      <c r="O88" s="2"/>
      <c r="P88" s="2"/>
      <c r="Q88" s="2">
        <f t="shared" si="6"/>
        <v>3.6795394856796011E-2</v>
      </c>
      <c r="R88" s="2">
        <f t="shared" si="7"/>
        <v>4.5917659492533382E-2</v>
      </c>
      <c r="S88" s="2" t="e">
        <f t="shared" si="8"/>
        <v>#NUM!</v>
      </c>
      <c r="T88" s="2"/>
      <c r="U88" s="2"/>
      <c r="V88" s="2"/>
      <c r="W88" s="2"/>
      <c r="X88" s="2"/>
      <c r="Y88" s="2"/>
      <c r="Z88" s="2"/>
    </row>
    <row r="89" spans="1:26" x14ac:dyDescent="0.2">
      <c r="A89" s="2">
        <v>11</v>
      </c>
      <c r="B89" s="2">
        <v>260811</v>
      </c>
      <c r="C89" s="2" t="s">
        <v>26</v>
      </c>
      <c r="D89" s="2" t="s">
        <v>20</v>
      </c>
      <c r="E89" s="2" t="s">
        <v>132</v>
      </c>
      <c r="F89" s="2">
        <v>3.64776279713052</v>
      </c>
      <c r="G89" s="2">
        <v>3.897702075010629</v>
      </c>
      <c r="H89" s="2">
        <v>3.6749236622718051</v>
      </c>
      <c r="I89" s="2">
        <v>3.5596970938330501</v>
      </c>
      <c r="J89" s="2">
        <v>3.881720370751494</v>
      </c>
      <c r="K89" s="2">
        <v>3.5581328965068062</v>
      </c>
      <c r="L89" s="2">
        <v>2.8693777919323442</v>
      </c>
      <c r="M89" s="2">
        <v>2.4537516576988798</v>
      </c>
      <c r="N89" s="2">
        <v>2.5099999999999998</v>
      </c>
      <c r="O89" s="2"/>
      <c r="P89" s="2"/>
      <c r="Q89" s="2">
        <f t="shared" si="6"/>
        <v>207.44741369075913</v>
      </c>
      <c r="R89" s="2">
        <f t="shared" si="7"/>
        <v>332.91115438345321</v>
      </c>
      <c r="S89" s="2">
        <f t="shared" si="8"/>
        <v>4129.0460893907239</v>
      </c>
      <c r="T89" s="2"/>
      <c r="U89" s="2"/>
      <c r="V89" s="2"/>
      <c r="W89" s="2"/>
      <c r="X89" s="2"/>
      <c r="Y89" s="2"/>
      <c r="Z89" s="2"/>
    </row>
    <row r="90" spans="1:26" x14ac:dyDescent="0.2">
      <c r="A90" s="2">
        <v>11</v>
      </c>
      <c r="B90" s="2">
        <v>260811</v>
      </c>
      <c r="C90" s="2" t="s">
        <v>43</v>
      </c>
      <c r="D90" s="2" t="s">
        <v>20</v>
      </c>
      <c r="E90" s="2" t="s">
        <v>133</v>
      </c>
      <c r="F90" s="2">
        <v>4.4347162907901296</v>
      </c>
      <c r="G90" s="2">
        <v>4.5409317587628824</v>
      </c>
      <c r="H90" s="2">
        <v>4.315994040011998</v>
      </c>
      <c r="I90" s="2">
        <v>3.8648862233991612</v>
      </c>
      <c r="J90" s="2">
        <v>4.3738750398539334</v>
      </c>
      <c r="K90" s="2">
        <v>4.1349021712653009</v>
      </c>
      <c r="L90" s="2">
        <v>3.1847737321505551</v>
      </c>
      <c r="M90" s="2">
        <v>2.7712522875314409</v>
      </c>
      <c r="N90" s="2">
        <v>2.4700000000000002</v>
      </c>
      <c r="O90" s="2"/>
      <c r="P90" s="2"/>
      <c r="Q90" s="2">
        <f t="shared" si="6"/>
        <v>284.47126527541525</v>
      </c>
      <c r="R90" s="2">
        <f t="shared" si="7"/>
        <v>426.31828342756256</v>
      </c>
      <c r="S90" s="2">
        <f t="shared" si="8"/>
        <v>5243.5798713724362</v>
      </c>
      <c r="T90" s="2"/>
      <c r="U90" s="2"/>
      <c r="V90" s="2"/>
      <c r="W90" s="2"/>
      <c r="X90" s="2"/>
      <c r="Y90" s="2"/>
      <c r="Z90" s="2"/>
    </row>
    <row r="91" spans="1:26" x14ac:dyDescent="0.2">
      <c r="A91" s="2">
        <v>12</v>
      </c>
      <c r="B91" s="2">
        <v>260814</v>
      </c>
      <c r="C91" s="2" t="s">
        <v>45</v>
      </c>
      <c r="D91" s="2" t="s">
        <v>20</v>
      </c>
      <c r="E91" s="2" t="s">
        <v>134</v>
      </c>
      <c r="F91" s="2">
        <v>1.055243480833095</v>
      </c>
      <c r="G91" s="2">
        <v>1.1263272041274499</v>
      </c>
      <c r="H91" s="2">
        <v>0.96233582544786178</v>
      </c>
      <c r="I91" s="2">
        <v>0.80198621084956534</v>
      </c>
      <c r="J91" s="2">
        <v>0.69246884131161246</v>
      </c>
      <c r="K91" s="2">
        <v>0.71632127046038807</v>
      </c>
      <c r="L91" s="2">
        <v>0.80510890901305954</v>
      </c>
      <c r="M91" s="2">
        <v>0.9867502184025736</v>
      </c>
      <c r="N91" s="2"/>
      <c r="O91" s="2"/>
      <c r="P91" s="2"/>
      <c r="Q91" s="2">
        <f t="shared" si="6"/>
        <v>27.808590144287603</v>
      </c>
      <c r="R91" s="2">
        <f t="shared" si="7"/>
        <v>41.925476706185407</v>
      </c>
      <c r="S91" s="2">
        <f t="shared" si="8"/>
        <v>118.68149663676712</v>
      </c>
      <c r="T91" s="2"/>
      <c r="U91" s="2"/>
      <c r="V91" s="2"/>
      <c r="W91" s="2"/>
      <c r="X91" s="2"/>
      <c r="Y91" s="2"/>
      <c r="Z91" s="2"/>
    </row>
    <row r="92" spans="1:26" x14ac:dyDescent="0.2">
      <c r="A92" s="2">
        <v>12</v>
      </c>
      <c r="B92" s="2">
        <v>260814</v>
      </c>
      <c r="C92" s="2" t="s">
        <v>47</v>
      </c>
      <c r="D92" s="2" t="s">
        <v>20</v>
      </c>
      <c r="E92" s="2" t="s">
        <v>135</v>
      </c>
      <c r="F92" s="2">
        <v>0.88708946823549151</v>
      </c>
      <c r="G92" s="2">
        <v>0.91175083767675613</v>
      </c>
      <c r="H92" s="2">
        <v>0.70127756389576246</v>
      </c>
      <c r="I92" s="2">
        <v>0.56860423374235081</v>
      </c>
      <c r="J92" s="2">
        <v>0.38952296594542091</v>
      </c>
      <c r="K92" s="2">
        <v>0.41753260799176389</v>
      </c>
      <c r="L92" s="2">
        <v>0.5243817833661687</v>
      </c>
      <c r="M92" s="2">
        <v>0.62931996030407622</v>
      </c>
      <c r="N92" s="2"/>
      <c r="O92" s="2"/>
      <c r="P92" s="2"/>
      <c r="Q92" s="2">
        <f t="shared" si="6"/>
        <v>20.968336387817892</v>
      </c>
      <c r="R92" s="2">
        <f t="shared" si="7"/>
        <v>25.563215549838223</v>
      </c>
      <c r="S92" s="2">
        <f t="shared" si="8"/>
        <v>32.751728375364017</v>
      </c>
      <c r="T92" s="2"/>
      <c r="U92" s="2"/>
      <c r="V92" s="2"/>
      <c r="W92" s="2"/>
      <c r="X92" s="2"/>
      <c r="Y92" s="2"/>
      <c r="Z92" s="2"/>
    </row>
    <row r="93" spans="1:26" x14ac:dyDescent="0.2">
      <c r="A93" s="2">
        <v>12</v>
      </c>
      <c r="B93" s="2">
        <v>260814</v>
      </c>
      <c r="C93" s="2" t="s">
        <v>49</v>
      </c>
      <c r="D93" s="2" t="s">
        <v>20</v>
      </c>
      <c r="E93" s="2" t="s">
        <v>136</v>
      </c>
      <c r="F93" s="2">
        <v>1.2100797013772051</v>
      </c>
      <c r="G93" s="2">
        <v>1.329516224370324</v>
      </c>
      <c r="H93" s="2">
        <v>1.158368962983191</v>
      </c>
      <c r="I93" s="2">
        <v>1.136567751300775</v>
      </c>
      <c r="J93" s="2">
        <v>0.97767809519002591</v>
      </c>
      <c r="K93" s="2">
        <v>0.93928224664712368</v>
      </c>
      <c r="L93" s="2">
        <v>0.99066107113713076</v>
      </c>
      <c r="M93" s="2">
        <v>1.0866336547303039</v>
      </c>
      <c r="N93" s="2"/>
      <c r="O93" s="2"/>
      <c r="P93" s="2"/>
      <c r="Q93" s="2">
        <f t="shared" si="6"/>
        <v>34.735871190009412</v>
      </c>
      <c r="R93" s="2">
        <f t="shared" si="7"/>
        <v>55.947159744769799</v>
      </c>
      <c r="S93" s="2">
        <f t="shared" si="8"/>
        <v>247.42580079853587</v>
      </c>
      <c r="T93" s="2"/>
      <c r="U93" s="2"/>
      <c r="V93" s="2"/>
      <c r="W93" s="2"/>
      <c r="X93" s="2"/>
      <c r="Y93" s="2"/>
      <c r="Z93" s="2"/>
    </row>
    <row r="94" spans="1:26" x14ac:dyDescent="0.2">
      <c r="A94" s="2">
        <v>12</v>
      </c>
      <c r="B94" s="2">
        <v>260814</v>
      </c>
      <c r="C94" s="2" t="s">
        <v>51</v>
      </c>
      <c r="D94" s="2" t="s">
        <v>20</v>
      </c>
      <c r="E94" s="2" t="s">
        <v>137</v>
      </c>
      <c r="F94" s="2">
        <v>2.4089246728190812</v>
      </c>
      <c r="G94" s="2">
        <v>2.633095035247953</v>
      </c>
      <c r="H94" s="2">
        <v>2.3951187741447169</v>
      </c>
      <c r="I94" s="2">
        <v>2.4624610064100199</v>
      </c>
      <c r="J94" s="2">
        <v>2.329986093055513</v>
      </c>
      <c r="K94" s="2">
        <v>2.1493818260911381</v>
      </c>
      <c r="L94" s="2">
        <v>2.0335243490882839</v>
      </c>
      <c r="M94" s="2">
        <v>2.0695448453277998</v>
      </c>
      <c r="N94" s="2"/>
      <c r="O94" s="2"/>
      <c r="P94" s="2"/>
      <c r="Q94" s="2">
        <f t="shared" si="6"/>
        <v>106.02911695385211</v>
      </c>
      <c r="R94" s="2">
        <f t="shared" si="7"/>
        <v>172.16756933556599</v>
      </c>
      <c r="S94" s="2">
        <f t="shared" si="8"/>
        <v>1477.5569468266201</v>
      </c>
      <c r="T94" s="2"/>
      <c r="U94" s="2"/>
      <c r="V94" s="2"/>
      <c r="W94" s="2"/>
      <c r="X94" s="2"/>
      <c r="Y94" s="2"/>
      <c r="Z94" s="2"/>
    </row>
    <row r="95" spans="1:26" x14ac:dyDescent="0.2">
      <c r="A95" s="2">
        <v>12</v>
      </c>
      <c r="B95" s="2">
        <v>260814</v>
      </c>
      <c r="C95" s="2" t="s">
        <v>53</v>
      </c>
      <c r="D95" s="2" t="s">
        <v>20</v>
      </c>
      <c r="E95" s="2" t="s">
        <v>138</v>
      </c>
      <c r="F95" s="2">
        <v>2.4771536769608868</v>
      </c>
      <c r="G95" s="2">
        <v>2.6891689489148858</v>
      </c>
      <c r="H95" s="2">
        <v>2.4248204664583288</v>
      </c>
      <c r="I95" s="2">
        <v>2.4354295458416542</v>
      </c>
      <c r="J95" s="2">
        <v>2.4126055929703472</v>
      </c>
      <c r="K95" s="2">
        <v>2.1777687422219749</v>
      </c>
      <c r="L95" s="2">
        <v>1.9138758368740401</v>
      </c>
      <c r="M95" s="2">
        <v>1.833638223446922</v>
      </c>
      <c r="N95" s="2"/>
      <c r="O95" s="2"/>
      <c r="P95" s="2"/>
      <c r="Q95" s="2">
        <f t="shared" si="6"/>
        <v>110.93181305745176</v>
      </c>
      <c r="R95" s="2">
        <f t="shared" si="7"/>
        <v>175.4713840925379</v>
      </c>
      <c r="S95" s="2">
        <f t="shared" si="8"/>
        <v>1585.5297188488923</v>
      </c>
      <c r="T95" s="2"/>
      <c r="U95" s="2"/>
      <c r="V95" s="2"/>
      <c r="W95" s="2"/>
      <c r="X95" s="2"/>
      <c r="Y95" s="2"/>
      <c r="Z95" s="2"/>
    </row>
    <row r="96" spans="1:26" x14ac:dyDescent="0.2">
      <c r="A96" s="2">
        <v>12</v>
      </c>
      <c r="B96" s="2">
        <v>260814</v>
      </c>
      <c r="C96" s="2" t="s">
        <v>75</v>
      </c>
      <c r="D96" s="2" t="s">
        <v>20</v>
      </c>
      <c r="E96" s="2" t="s">
        <v>139</v>
      </c>
      <c r="F96" s="2">
        <v>2.1276144553035019</v>
      </c>
      <c r="G96" s="2">
        <v>2.2871632909469528</v>
      </c>
      <c r="H96" s="2">
        <v>2.2180453584418771</v>
      </c>
      <c r="I96" s="2">
        <v>2.2469492102530788</v>
      </c>
      <c r="J96" s="2">
        <v>2.0078837397851359</v>
      </c>
      <c r="K96" s="2">
        <v>1.8120001931412639</v>
      </c>
      <c r="L96" s="2">
        <v>1.6963208690367451</v>
      </c>
      <c r="M96" s="2">
        <v>1.711709039719024</v>
      </c>
      <c r="N96" s="2"/>
      <c r="O96" s="2"/>
      <c r="P96" s="2"/>
      <c r="Q96" s="2">
        <f t="shared" si="6"/>
        <v>86.720299743465361</v>
      </c>
      <c r="R96" s="2">
        <f t="shared" si="7"/>
        <v>152.92929105035574</v>
      </c>
      <c r="S96" s="2">
        <f t="shared" si="8"/>
        <v>1092.5114851011592</v>
      </c>
      <c r="T96" s="2"/>
      <c r="U96" s="2"/>
      <c r="V96" s="2"/>
      <c r="W96" s="2"/>
      <c r="X96" s="2"/>
      <c r="Y96" s="2"/>
      <c r="Z96" s="2"/>
    </row>
    <row r="97" spans="1:26" x14ac:dyDescent="0.2">
      <c r="A97" s="2">
        <v>12</v>
      </c>
      <c r="B97" s="2">
        <v>260814</v>
      </c>
      <c r="C97" s="2" t="s">
        <v>36</v>
      </c>
      <c r="D97" s="2" t="s">
        <v>20</v>
      </c>
      <c r="E97" s="2" t="s">
        <v>140</v>
      </c>
      <c r="F97" s="2">
        <v>3.666833362424637</v>
      </c>
      <c r="G97" s="2">
        <v>3.9942622597875959</v>
      </c>
      <c r="H97" s="2">
        <v>3.7656980462571652</v>
      </c>
      <c r="I97" s="2">
        <v>3.5750235263908579</v>
      </c>
      <c r="J97" s="2">
        <v>3.4487720615056641</v>
      </c>
      <c r="K97" s="2">
        <v>3.2167792036626519</v>
      </c>
      <c r="L97" s="2">
        <v>2.7491274885686972</v>
      </c>
      <c r="M97" s="2">
        <v>2.5218190632334618</v>
      </c>
      <c r="N97" s="2"/>
      <c r="O97" s="2"/>
      <c r="P97" s="2"/>
      <c r="Q97" s="2">
        <f t="shared" si="6"/>
        <v>209.20357781816313</v>
      </c>
      <c r="R97" s="2">
        <f t="shared" si="7"/>
        <v>345.64639036379197</v>
      </c>
      <c r="S97" s="2">
        <f t="shared" si="8"/>
        <v>3257.1917776867194</v>
      </c>
      <c r="T97" s="2"/>
      <c r="U97" s="2"/>
      <c r="V97" s="2"/>
      <c r="W97" s="2"/>
      <c r="X97" s="2"/>
      <c r="Y97" s="2"/>
      <c r="Z97" s="2"/>
    </row>
    <row r="98" spans="1:26" x14ac:dyDescent="0.2">
      <c r="A98" s="2">
        <v>13</v>
      </c>
      <c r="B98" s="2">
        <v>260828</v>
      </c>
      <c r="C98" s="2" t="s">
        <v>34</v>
      </c>
      <c r="D98" s="2" t="s">
        <v>20</v>
      </c>
      <c r="E98" s="2" t="s">
        <v>141</v>
      </c>
      <c r="F98" s="2">
        <v>2.7119517219729752</v>
      </c>
      <c r="G98" s="2">
        <v>2.905275908432138</v>
      </c>
      <c r="H98" s="2">
        <v>2.630711366316254</v>
      </c>
      <c r="I98" s="2">
        <v>2.677314304325189</v>
      </c>
      <c r="J98" s="2">
        <v>2.4950643116000411</v>
      </c>
      <c r="K98" s="2">
        <v>2.243537711490573</v>
      </c>
      <c r="L98" s="2">
        <v>1.901045149611255</v>
      </c>
      <c r="M98" s="2">
        <v>1.8134287467866159</v>
      </c>
      <c r="N98" s="2"/>
      <c r="O98" s="2"/>
      <c r="P98" s="2"/>
      <c r="Q98" s="2">
        <f t="shared" ref="Q98:Q104" si="9">((F98- 0.00793) / 0.1333)^(1/0.6199)</f>
        <v>128.43843164708508</v>
      </c>
      <c r="R98" s="2">
        <f t="shared" ref="R98:R104" si="10">((H98- 0.0166) / 0.0825)^(1/0.6529)</f>
        <v>198.96418495053658</v>
      </c>
      <c r="S98" s="2">
        <f t="shared" ref="S98:S104" si="11">((J98- 0.06053) / 0.0561)^(1/0.507)</f>
        <v>1697.0334831820705</v>
      </c>
      <c r="T98" s="2"/>
      <c r="U98" s="2"/>
      <c r="V98" s="2"/>
      <c r="W98" s="2"/>
      <c r="X98" s="2"/>
      <c r="Y98" s="2"/>
      <c r="Z98" s="2"/>
    </row>
    <row r="99" spans="1:26" x14ac:dyDescent="0.2">
      <c r="A99" s="2">
        <v>13</v>
      </c>
      <c r="B99" s="2">
        <v>260828</v>
      </c>
      <c r="C99" s="2" t="s">
        <v>32</v>
      </c>
      <c r="D99" s="2" t="s">
        <v>20</v>
      </c>
      <c r="E99" s="2" t="s">
        <v>142</v>
      </c>
      <c r="F99" s="2">
        <v>4.3969586506176652</v>
      </c>
      <c r="G99" s="2">
        <v>4.8314051239019964</v>
      </c>
      <c r="H99" s="2">
        <v>4.8799323128325298</v>
      </c>
      <c r="I99" s="2">
        <v>4.6852889565665601</v>
      </c>
      <c r="J99" s="2">
        <v>4.8126852756132106</v>
      </c>
      <c r="K99" s="2">
        <v>4.3463354547467592</v>
      </c>
      <c r="L99" s="2">
        <v>3.352949012446345</v>
      </c>
      <c r="M99" s="2">
        <v>3.0188095720014911</v>
      </c>
      <c r="N99" s="2"/>
      <c r="O99" s="2"/>
      <c r="P99" s="2"/>
      <c r="Q99" s="2">
        <f t="shared" si="9"/>
        <v>280.56740149157673</v>
      </c>
      <c r="R99" s="2">
        <f t="shared" si="10"/>
        <v>514.89295693389272</v>
      </c>
      <c r="S99" s="2">
        <f t="shared" si="11"/>
        <v>6347.7360367400042</v>
      </c>
      <c r="T99" s="2"/>
      <c r="U99" s="2"/>
      <c r="V99" s="2"/>
      <c r="W99" s="2"/>
      <c r="X99" s="2"/>
      <c r="Y99" s="2"/>
      <c r="Z99" s="2"/>
    </row>
    <row r="100" spans="1:26" x14ac:dyDescent="0.2">
      <c r="A100" s="2">
        <v>13</v>
      </c>
      <c r="B100" s="2">
        <v>260828</v>
      </c>
      <c r="C100" s="2" t="s">
        <v>43</v>
      </c>
      <c r="D100" s="2" t="s">
        <v>20</v>
      </c>
      <c r="E100" s="2" t="s">
        <v>143</v>
      </c>
      <c r="F100" s="2">
        <v>3.1353968494462121</v>
      </c>
      <c r="G100" s="2">
        <v>3.407126793656241</v>
      </c>
      <c r="H100" s="2">
        <v>3.1714448142600742</v>
      </c>
      <c r="I100" s="2">
        <v>3.2029333027512852</v>
      </c>
      <c r="J100" s="2">
        <v>3.3599201353648529</v>
      </c>
      <c r="K100" s="2">
        <v>3.0424513815878602</v>
      </c>
      <c r="L100" s="2">
        <v>2.4193818455418432</v>
      </c>
      <c r="M100" s="2">
        <v>2.0052182252529822</v>
      </c>
      <c r="N100" s="2"/>
      <c r="O100" s="2"/>
      <c r="P100" s="2"/>
      <c r="Q100" s="2">
        <f t="shared" si="9"/>
        <v>162.41223913225181</v>
      </c>
      <c r="R100" s="2">
        <f t="shared" si="10"/>
        <v>265.36176117118418</v>
      </c>
      <c r="S100" s="2">
        <f t="shared" si="11"/>
        <v>3090.8682525648187</v>
      </c>
      <c r="T100" s="2"/>
      <c r="U100" s="2"/>
      <c r="V100" s="2"/>
      <c r="W100" s="2"/>
      <c r="X100" s="2"/>
      <c r="Y100" s="2"/>
      <c r="Z100" s="2"/>
    </row>
    <row r="101" spans="1:26" x14ac:dyDescent="0.2">
      <c r="A101" s="2">
        <v>13</v>
      </c>
      <c r="B101" s="2">
        <v>260828</v>
      </c>
      <c r="C101" s="2" t="s">
        <v>26</v>
      </c>
      <c r="D101" s="2" t="s">
        <v>20</v>
      </c>
      <c r="E101" s="2" t="s">
        <v>144</v>
      </c>
      <c r="F101" s="2">
        <v>2.7191857272255291</v>
      </c>
      <c r="G101" s="2">
        <v>2.9168443102677202</v>
      </c>
      <c r="H101" s="2">
        <v>2.6803115839314189</v>
      </c>
      <c r="I101" s="2">
        <v>2.6503442608544101</v>
      </c>
      <c r="J101" s="2">
        <v>2.805047820988861</v>
      </c>
      <c r="K101" s="2">
        <v>2.4980654557847268</v>
      </c>
      <c r="L101" s="2">
        <v>1.937408467658936</v>
      </c>
      <c r="M101" s="2">
        <v>1.7621701649817061</v>
      </c>
      <c r="N101" s="2"/>
      <c r="O101" s="2"/>
      <c r="P101" s="2"/>
      <c r="Q101" s="2">
        <f t="shared" si="9"/>
        <v>128.99318244658392</v>
      </c>
      <c r="R101" s="2">
        <f t="shared" si="10"/>
        <v>204.77539013387769</v>
      </c>
      <c r="S101" s="2">
        <f t="shared" si="11"/>
        <v>2149.5791431926991</v>
      </c>
      <c r="T101" s="2"/>
      <c r="U101" s="2"/>
      <c r="V101" s="2"/>
      <c r="W101" s="2"/>
      <c r="X101" s="2"/>
      <c r="Y101" s="2"/>
      <c r="Z101" s="2"/>
    </row>
    <row r="102" spans="1:26" x14ac:dyDescent="0.2">
      <c r="A102" s="2">
        <v>13</v>
      </c>
      <c r="B102" s="2">
        <v>260828</v>
      </c>
      <c r="C102" s="2" t="s">
        <v>24</v>
      </c>
      <c r="D102" s="2" t="s">
        <v>20</v>
      </c>
      <c r="E102" s="2" t="s">
        <v>145</v>
      </c>
      <c r="F102" s="2">
        <v>2.7557246731465872</v>
      </c>
      <c r="G102" s="2">
        <v>2.9752790521603969</v>
      </c>
      <c r="H102" s="2">
        <v>2.6195458982252879</v>
      </c>
      <c r="I102" s="2">
        <v>2.601398270714248</v>
      </c>
      <c r="J102" s="2">
        <v>2.8366280015290788</v>
      </c>
      <c r="K102" s="2">
        <v>2.533680556999431</v>
      </c>
      <c r="L102" s="2">
        <v>1.9682146250516519</v>
      </c>
      <c r="M102" s="2">
        <v>1.639701881311022</v>
      </c>
      <c r="N102" s="2"/>
      <c r="O102" s="2"/>
      <c r="P102" s="2"/>
      <c r="Q102" s="2">
        <f t="shared" si="9"/>
        <v>131.8090890905593</v>
      </c>
      <c r="R102" s="2">
        <f t="shared" si="10"/>
        <v>197.66405309126714</v>
      </c>
      <c r="S102" s="2">
        <f t="shared" si="11"/>
        <v>2198.6379122350122</v>
      </c>
      <c r="T102" s="2"/>
      <c r="U102" s="2"/>
      <c r="V102" s="2"/>
      <c r="W102" s="2"/>
      <c r="X102" s="2"/>
      <c r="Y102" s="2"/>
      <c r="Z102" s="2"/>
    </row>
    <row r="103" spans="1:26" x14ac:dyDescent="0.2">
      <c r="A103" s="2">
        <v>13</v>
      </c>
      <c r="B103" s="2">
        <v>260828</v>
      </c>
      <c r="C103" s="2" t="s">
        <v>22</v>
      </c>
      <c r="D103" s="2" t="s">
        <v>20</v>
      </c>
      <c r="E103" s="2" t="s">
        <v>146</v>
      </c>
      <c r="F103" s="2">
        <v>1.7529931262746581</v>
      </c>
      <c r="G103" s="2">
        <v>1.89704672436331</v>
      </c>
      <c r="H103" s="2">
        <v>1.709401198751022</v>
      </c>
      <c r="I103" s="2">
        <v>1.6599329565203409</v>
      </c>
      <c r="J103" s="2">
        <v>1.6552606536371059</v>
      </c>
      <c r="K103" s="2">
        <v>1.4898647719490039</v>
      </c>
      <c r="L103" s="2">
        <v>1.29508921069317</v>
      </c>
      <c r="M103" s="2">
        <v>1.241613915983194</v>
      </c>
      <c r="N103" s="2"/>
      <c r="O103" s="2"/>
      <c r="P103" s="2"/>
      <c r="Q103" s="2">
        <f t="shared" si="9"/>
        <v>63.368418795773138</v>
      </c>
      <c r="R103" s="2">
        <f t="shared" si="10"/>
        <v>102.2654458598368</v>
      </c>
      <c r="S103" s="2">
        <f t="shared" si="11"/>
        <v>736.72713941926713</v>
      </c>
      <c r="T103" s="2"/>
      <c r="U103" s="2"/>
      <c r="V103" s="2"/>
      <c r="W103" s="2"/>
      <c r="X103" s="2"/>
      <c r="Y103" s="2"/>
      <c r="Z103" s="2"/>
    </row>
    <row r="104" spans="1:26" x14ac:dyDescent="0.2">
      <c r="A104" s="2">
        <v>13</v>
      </c>
      <c r="B104" s="2">
        <v>260828</v>
      </c>
      <c r="C104" s="2" t="s">
        <v>19</v>
      </c>
      <c r="D104" s="2" t="s">
        <v>20</v>
      </c>
      <c r="E104" s="2" t="s">
        <v>147</v>
      </c>
      <c r="F104" s="2">
        <v>1.6479475750052479</v>
      </c>
      <c r="G104" s="2">
        <v>1.8124375490913751</v>
      </c>
      <c r="H104" s="2">
        <v>1.8501614311663119</v>
      </c>
      <c r="I104" s="2">
        <v>1.7635145276062589</v>
      </c>
      <c r="J104" s="2">
        <v>1.450336515338174</v>
      </c>
      <c r="K104" s="2">
        <v>1.2970398758218771</v>
      </c>
      <c r="L104" s="2">
        <v>1.226925539171688</v>
      </c>
      <c r="M104" s="2">
        <v>1.2462973059554019</v>
      </c>
      <c r="N104" s="2"/>
      <c r="O104" s="2"/>
      <c r="P104" s="2"/>
      <c r="Q104" s="2">
        <f t="shared" si="9"/>
        <v>57.329443567549973</v>
      </c>
      <c r="R104" s="2">
        <f t="shared" si="10"/>
        <v>115.57405225198606</v>
      </c>
      <c r="S104" s="2">
        <f t="shared" si="11"/>
        <v>561.68147776906903</v>
      </c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>
        <v>4</v>
      </c>
      <c r="B118">
        <v>260618</v>
      </c>
      <c r="C118" t="s">
        <v>148</v>
      </c>
      <c r="D118" t="s">
        <v>20</v>
      </c>
      <c r="E118" t="s">
        <v>149</v>
      </c>
      <c r="F118">
        <v>3.032648849696038</v>
      </c>
      <c r="G118">
        <v>3.3542333500176129</v>
      </c>
      <c r="H118">
        <v>3.3910098217851901</v>
      </c>
      <c r="I118">
        <v>3.2117454468901361</v>
      </c>
      <c r="J118">
        <v>2.8341120422769821</v>
      </c>
      <c r="K118">
        <v>2.5826268560203309</v>
      </c>
      <c r="L118">
        <v>2.485822346867697</v>
      </c>
      <c r="M118">
        <v>2.5123624914475782</v>
      </c>
    </row>
    <row r="119" spans="1:26" x14ac:dyDescent="0.2">
      <c r="A119">
        <v>4</v>
      </c>
      <c r="B119">
        <v>260618</v>
      </c>
      <c r="C119" t="s">
        <v>150</v>
      </c>
      <c r="D119" t="s">
        <v>58</v>
      </c>
      <c r="E119" t="s">
        <v>151</v>
      </c>
      <c r="F119">
        <v>1.5981225557938821</v>
      </c>
      <c r="G119">
        <v>1.854708962273433</v>
      </c>
      <c r="H119">
        <v>1.961654506066953</v>
      </c>
      <c r="I119">
        <v>1.710217706946622</v>
      </c>
      <c r="J119">
        <v>1.1586558795272299</v>
      </c>
      <c r="K119">
        <v>0.9685535732610715</v>
      </c>
      <c r="L119">
        <v>0.86689856256890319</v>
      </c>
      <c r="M119">
        <v>0.88845104845976131</v>
      </c>
    </row>
    <row r="120" spans="1:26" x14ac:dyDescent="0.2">
      <c r="A120">
        <v>4</v>
      </c>
      <c r="B120">
        <v>260618</v>
      </c>
      <c r="C120" t="s">
        <v>107</v>
      </c>
      <c r="D120" t="s">
        <v>20</v>
      </c>
      <c r="E120" t="s">
        <v>152</v>
      </c>
      <c r="F120">
        <v>1.462461512530483</v>
      </c>
      <c r="G120">
        <v>1.708389461533991</v>
      </c>
      <c r="H120">
        <v>1.817678566668387</v>
      </c>
      <c r="I120">
        <v>1.62765030822329</v>
      </c>
      <c r="J120">
        <v>1.2206793131112099</v>
      </c>
      <c r="K120">
        <v>1.046184095330106</v>
      </c>
      <c r="L120">
        <v>0.95156961973895893</v>
      </c>
      <c r="M120">
        <v>0.96046252447295455</v>
      </c>
    </row>
    <row r="121" spans="1:26" x14ac:dyDescent="0.2">
      <c r="A121">
        <v>4</v>
      </c>
      <c r="B121">
        <v>260618</v>
      </c>
      <c r="C121" t="s">
        <v>109</v>
      </c>
      <c r="D121" t="s">
        <v>58</v>
      </c>
      <c r="E121" t="s">
        <v>153</v>
      </c>
      <c r="F121">
        <v>1.8517839814861741</v>
      </c>
      <c r="G121">
        <v>2.2460215230041962</v>
      </c>
      <c r="H121">
        <v>2.3404345167410359</v>
      </c>
      <c r="I121">
        <v>1.9171261783275519</v>
      </c>
      <c r="J121">
        <v>1.457716617828668</v>
      </c>
      <c r="K121">
        <v>1.2526331250213241</v>
      </c>
      <c r="L121">
        <v>1.129565566383754</v>
      </c>
      <c r="M121">
        <v>1.126692942029647</v>
      </c>
    </row>
    <row r="122" spans="1:26" x14ac:dyDescent="0.2">
      <c r="A122">
        <v>4</v>
      </c>
      <c r="B122">
        <v>260618</v>
      </c>
      <c r="C122" t="s">
        <v>154</v>
      </c>
      <c r="D122" t="s">
        <v>20</v>
      </c>
      <c r="E122" t="s">
        <v>155</v>
      </c>
      <c r="F122">
        <v>2.2046948163690989</v>
      </c>
      <c r="G122">
        <v>4.835012226625639</v>
      </c>
      <c r="H122">
        <v>2.5490559773726931</v>
      </c>
      <c r="I122">
        <v>2.1831394522515488</v>
      </c>
      <c r="J122">
        <v>2.529091343577857</v>
      </c>
      <c r="K122">
        <v>2.2683632626357042</v>
      </c>
      <c r="L122">
        <v>2.014579199341612</v>
      </c>
      <c r="M122">
        <v>1.878833487802293</v>
      </c>
    </row>
    <row r="123" spans="1:26" x14ac:dyDescent="0.2">
      <c r="A123">
        <v>4</v>
      </c>
      <c r="B123">
        <v>260618</v>
      </c>
      <c r="C123" t="s">
        <v>156</v>
      </c>
      <c r="D123" t="s">
        <v>58</v>
      </c>
      <c r="E123" t="s">
        <v>157</v>
      </c>
      <c r="F123">
        <v>2.9342266014288958</v>
      </c>
      <c r="G123">
        <v>2.8366677675180298</v>
      </c>
      <c r="H123">
        <v>3.307263035237153</v>
      </c>
      <c r="I123">
        <v>3.359948501743268</v>
      </c>
      <c r="J123">
        <v>2.9745056223450361</v>
      </c>
      <c r="K123">
        <v>2.737282474606118</v>
      </c>
      <c r="L123">
        <v>2.4856564117515441</v>
      </c>
      <c r="M123">
        <v>2.376313612509366</v>
      </c>
    </row>
    <row r="124" spans="1:26" x14ac:dyDescent="0.2">
      <c r="A124">
        <v>4</v>
      </c>
      <c r="B124">
        <v>260618</v>
      </c>
      <c r="C124" t="s">
        <v>94</v>
      </c>
      <c r="D124" t="s">
        <v>20</v>
      </c>
      <c r="E124" t="s">
        <v>158</v>
      </c>
      <c r="F124">
        <v>4.9635143390987659</v>
      </c>
      <c r="G124">
        <v>5.7684183159668354</v>
      </c>
      <c r="H124">
        <v>5.9538748893136981</v>
      </c>
      <c r="I124">
        <v>5.4923816093672606</v>
      </c>
      <c r="J124">
        <v>4.6932639203180084</v>
      </c>
      <c r="K124">
        <v>4.2677726164860079</v>
      </c>
      <c r="L124">
        <v>3.939114495619529</v>
      </c>
      <c r="M124">
        <v>3.638168038159832</v>
      </c>
    </row>
    <row r="125" spans="1:26" x14ac:dyDescent="0.2">
      <c r="A125">
        <v>4</v>
      </c>
      <c r="B125">
        <v>260618</v>
      </c>
      <c r="C125" t="s">
        <v>96</v>
      </c>
      <c r="D125" t="s">
        <v>58</v>
      </c>
      <c r="E125" t="s">
        <v>159</v>
      </c>
      <c r="F125">
        <v>2.4350752586128679</v>
      </c>
      <c r="G125">
        <v>2.5544998904005931</v>
      </c>
      <c r="H125">
        <v>2.853098889518181</v>
      </c>
      <c r="I125">
        <v>3.0379378760099538</v>
      </c>
      <c r="J125">
        <v>2.591942167262216</v>
      </c>
      <c r="K125">
        <v>2.3700208413151032</v>
      </c>
      <c r="L125">
        <v>2.102348883885742</v>
      </c>
      <c r="M125">
        <v>1.9284680349497241</v>
      </c>
    </row>
    <row r="126" spans="1:26" x14ac:dyDescent="0.2">
      <c r="A126">
        <v>4</v>
      </c>
      <c r="B126">
        <v>260618</v>
      </c>
      <c r="C126" t="s">
        <v>28</v>
      </c>
      <c r="D126" t="s">
        <v>20</v>
      </c>
      <c r="E126" t="s">
        <v>160</v>
      </c>
      <c r="F126">
        <v>5.5818885235783142</v>
      </c>
      <c r="G126">
        <v>6.5808104051733158</v>
      </c>
      <c r="H126">
        <v>6.1814854865326971</v>
      </c>
      <c r="I126">
        <v>5.320063422914429</v>
      </c>
      <c r="J126">
        <v>4.419466129919047</v>
      </c>
      <c r="K126">
        <v>3.9636060472419512</v>
      </c>
      <c r="L126">
        <v>3.5922468932816929</v>
      </c>
      <c r="M126">
        <v>3.3800757967076649</v>
      </c>
    </row>
    <row r="127" spans="1:26" x14ac:dyDescent="0.2">
      <c r="A127">
        <v>4</v>
      </c>
      <c r="B127">
        <v>260618</v>
      </c>
      <c r="C127" t="s">
        <v>30</v>
      </c>
      <c r="D127" t="s">
        <v>58</v>
      </c>
      <c r="E127" t="s">
        <v>161</v>
      </c>
      <c r="F127">
        <v>3.2664140102524928</v>
      </c>
      <c r="G127">
        <v>4.1661657341163609</v>
      </c>
      <c r="H127">
        <v>4.0555658276328446</v>
      </c>
      <c r="I127">
        <v>3.2029659475823711</v>
      </c>
      <c r="J127">
        <v>2.8424862185159401</v>
      </c>
      <c r="K127">
        <v>2.5005735931170099</v>
      </c>
      <c r="L127">
        <v>2.0552282534162538</v>
      </c>
      <c r="M127">
        <v>2.014786342227167</v>
      </c>
    </row>
    <row r="128" spans="1:26" x14ac:dyDescent="0.2">
      <c r="A128">
        <v>4</v>
      </c>
      <c r="B128">
        <v>260618</v>
      </c>
      <c r="C128" t="s">
        <v>162</v>
      </c>
      <c r="D128" t="s">
        <v>20</v>
      </c>
      <c r="E128" t="s">
        <v>163</v>
      </c>
      <c r="F128">
        <v>3.264551072611487</v>
      </c>
      <c r="G128">
        <v>3.7043410443385558</v>
      </c>
      <c r="H128">
        <v>3.6391679243064412</v>
      </c>
      <c r="I128">
        <v>3.0956522520431942</v>
      </c>
      <c r="J128">
        <v>2.683005964330246</v>
      </c>
      <c r="K128">
        <v>2.427748808867114</v>
      </c>
      <c r="L128">
        <v>2.2922546758401299</v>
      </c>
      <c r="M128">
        <v>2.2790928280626548</v>
      </c>
    </row>
    <row r="129" spans="1:13" x14ac:dyDescent="0.2">
      <c r="A129">
        <v>4</v>
      </c>
      <c r="B129">
        <v>260618</v>
      </c>
      <c r="C129" t="s">
        <v>164</v>
      </c>
      <c r="D129" t="s">
        <v>58</v>
      </c>
      <c r="E129" t="s">
        <v>165</v>
      </c>
      <c r="F129">
        <v>2.1314557588281842</v>
      </c>
      <c r="G129">
        <v>2.0930847763129061</v>
      </c>
      <c r="H129">
        <v>2.1213814821578421</v>
      </c>
      <c r="I129">
        <v>2.2399038998306362</v>
      </c>
      <c r="J129">
        <v>2.204549037863007</v>
      </c>
      <c r="K129">
        <v>2.0358085445378342</v>
      </c>
      <c r="L129">
        <v>1.8978542365574791</v>
      </c>
      <c r="M129">
        <v>1.845130993106183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3"/>
  <sheetViews>
    <sheetView tabSelected="1" topLeftCell="A8" workbookViewId="0">
      <selection activeCell="F21" sqref="A1:XFD1048576"/>
    </sheetView>
  </sheetViews>
  <sheetFormatPr baseColWidth="10" defaultRowHeight="14" x14ac:dyDescent="0.15"/>
  <cols>
    <col min="1" max="4" width="10.83203125" style="2"/>
    <col min="5" max="5" width="25.1640625" style="2" customWidth="1"/>
    <col min="6" max="6" width="17.33203125" style="2" customWidth="1"/>
    <col min="7" max="20" width="10.83203125" style="2"/>
    <col min="21" max="21" width="25.6640625" style="2" customWidth="1"/>
    <col min="22" max="30" width="10.83203125" style="2"/>
    <col min="31" max="31" width="62.5" style="2" customWidth="1"/>
    <col min="32" max="16384" width="10.83203125" style="2"/>
  </cols>
  <sheetData>
    <row r="1" spans="1:31" s="2" customForma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13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1" t="s">
        <v>191</v>
      </c>
      <c r="P1" s="12"/>
      <c r="Q1" s="12"/>
      <c r="AE1" s="2" t="s">
        <v>191</v>
      </c>
    </row>
    <row r="2" spans="1:31" s="2" customFormat="1" x14ac:dyDescent="0.15">
      <c r="A2" s="12">
        <v>2</v>
      </c>
      <c r="B2" s="12">
        <v>260603</v>
      </c>
      <c r="C2" s="12" t="s">
        <v>36</v>
      </c>
      <c r="D2" s="12" t="s">
        <v>20</v>
      </c>
      <c r="E2" s="12" t="s">
        <v>38</v>
      </c>
      <c r="F2" s="12">
        <v>11.7</v>
      </c>
      <c r="G2" s="12">
        <v>2.398001285323188</v>
      </c>
      <c r="H2" s="12">
        <v>2.7359715285544781</v>
      </c>
      <c r="I2" s="12">
        <v>2.9007447744811161</v>
      </c>
      <c r="J2" s="12">
        <v>2.8404954587947748</v>
      </c>
      <c r="K2" s="12">
        <v>2.2260574046888699</v>
      </c>
      <c r="L2" s="12">
        <v>1.95505840522604</v>
      </c>
      <c r="M2" s="12">
        <v>1.657678111219038</v>
      </c>
      <c r="N2" s="12">
        <v>1.5638108578315171</v>
      </c>
      <c r="O2" s="12" t="s">
        <v>194</v>
      </c>
      <c r="P2" s="12"/>
      <c r="Q2" s="12"/>
    </row>
    <row r="3" spans="1:31" s="2" customFormat="1" x14ac:dyDescent="0.15">
      <c r="A3" s="12">
        <v>2</v>
      </c>
      <c r="B3" s="12">
        <v>260603</v>
      </c>
      <c r="C3" s="12" t="s">
        <v>19</v>
      </c>
      <c r="D3" s="12" t="s">
        <v>20</v>
      </c>
      <c r="E3" s="12" t="s">
        <v>39</v>
      </c>
      <c r="F3" s="12">
        <v>4.2</v>
      </c>
      <c r="G3" s="12">
        <v>1.9754335784580681</v>
      </c>
      <c r="H3" s="12">
        <v>2.3021579340357552</v>
      </c>
      <c r="I3" s="12">
        <v>2.1906084822830429</v>
      </c>
      <c r="J3" s="12">
        <v>1.794615055134144</v>
      </c>
      <c r="K3" s="12">
        <v>1.381167281653745</v>
      </c>
      <c r="L3" s="12">
        <v>1.237831548591606</v>
      </c>
      <c r="M3" s="12">
        <v>1.140692467974824</v>
      </c>
      <c r="N3" s="12">
        <v>1.0848474064293581</v>
      </c>
      <c r="O3" s="12" t="s">
        <v>193</v>
      </c>
      <c r="P3" s="12"/>
      <c r="Q3" s="12"/>
    </row>
    <row r="4" spans="1:31" s="2" customFormat="1" x14ac:dyDescent="0.15">
      <c r="A4" s="12">
        <v>2</v>
      </c>
      <c r="B4" s="12">
        <v>260603</v>
      </c>
      <c r="C4" s="12" t="s">
        <v>22</v>
      </c>
      <c r="D4" s="12" t="s">
        <v>20</v>
      </c>
      <c r="E4" s="12" t="s">
        <v>40</v>
      </c>
      <c r="F4" s="12">
        <v>3.4</v>
      </c>
      <c r="G4" s="12">
        <v>1.9970119751242059</v>
      </c>
      <c r="H4" s="12">
        <v>2.2233458623727298</v>
      </c>
      <c r="I4" s="12">
        <v>2.2685010747628951</v>
      </c>
      <c r="J4" s="12">
        <v>1.998628278172482</v>
      </c>
      <c r="K4" s="12">
        <v>1.634105292420164</v>
      </c>
      <c r="L4" s="12">
        <v>1.4725624728200271</v>
      </c>
      <c r="M4" s="12">
        <v>1.31358448948606</v>
      </c>
      <c r="N4" s="12">
        <v>1.24621830269356</v>
      </c>
      <c r="O4" s="12" t="s">
        <v>192</v>
      </c>
      <c r="P4" s="12"/>
      <c r="Q4" s="12"/>
    </row>
    <row r="5" spans="1:31" s="2" customFormat="1" x14ac:dyDescent="0.15">
      <c r="A5" s="12">
        <v>2</v>
      </c>
      <c r="B5" s="12">
        <v>260603</v>
      </c>
      <c r="C5" s="12" t="s">
        <v>24</v>
      </c>
      <c r="D5" s="12" t="s">
        <v>20</v>
      </c>
      <c r="E5" s="12" t="s">
        <v>41</v>
      </c>
      <c r="F5" s="12">
        <v>2.4</v>
      </c>
      <c r="G5" s="12">
        <v>6.3154597709349458</v>
      </c>
      <c r="H5" s="12">
        <v>6.8413731079576454</v>
      </c>
      <c r="I5" s="12">
        <v>1.7878569308385901</v>
      </c>
      <c r="J5" s="12">
        <v>1.784550613652188</v>
      </c>
      <c r="K5" s="12">
        <v>1.9765794227223681</v>
      </c>
      <c r="L5" s="12">
        <v>1.739365531688934</v>
      </c>
      <c r="M5" s="12">
        <v>1.4959115754686461</v>
      </c>
      <c r="N5" s="12">
        <v>1.404175709268874</v>
      </c>
      <c r="O5" s="12" t="s">
        <v>196</v>
      </c>
      <c r="P5" s="12"/>
      <c r="Q5" s="12"/>
    </row>
    <row r="6" spans="1:31" s="2" customFormat="1" x14ac:dyDescent="0.15">
      <c r="A6" s="12">
        <v>2</v>
      </c>
      <c r="B6" s="12">
        <v>260603</v>
      </c>
      <c r="C6" s="12" t="s">
        <v>43</v>
      </c>
      <c r="D6" s="12" t="s">
        <v>20</v>
      </c>
      <c r="E6" s="12" t="s">
        <v>44</v>
      </c>
      <c r="F6" s="12">
        <v>2.8</v>
      </c>
      <c r="G6" s="12">
        <v>2.1289243155370561</v>
      </c>
      <c r="H6" s="12">
        <v>2.2215953930195829</v>
      </c>
      <c r="I6" s="12">
        <v>2.2379835297315949</v>
      </c>
      <c r="J6" s="12">
        <v>2.3922878442083668</v>
      </c>
      <c r="K6" s="12">
        <v>2.1385075681202288</v>
      </c>
      <c r="L6" s="12">
        <v>1.941385145828723</v>
      </c>
      <c r="M6" s="12">
        <v>1.741127014616052</v>
      </c>
      <c r="N6" s="12">
        <v>1.6312202747029561</v>
      </c>
      <c r="O6" s="12"/>
      <c r="P6" s="12"/>
      <c r="Q6" s="12"/>
    </row>
    <row r="7" spans="1:31" s="2" customFormat="1" x14ac:dyDescent="0.15">
      <c r="A7" s="12">
        <v>3</v>
      </c>
      <c r="B7" s="12">
        <v>260610</v>
      </c>
      <c r="C7" s="12" t="s">
        <v>45</v>
      </c>
      <c r="D7" s="12" t="s">
        <v>20</v>
      </c>
      <c r="E7" s="12" t="s">
        <v>46</v>
      </c>
      <c r="F7" s="12">
        <v>7</v>
      </c>
      <c r="G7" s="12">
        <v>1.3798652578615871</v>
      </c>
      <c r="H7" s="12">
        <v>1.6004900707651419</v>
      </c>
      <c r="I7" s="12">
        <v>1.4185815304944871</v>
      </c>
      <c r="J7" s="12">
        <v>1.20600799612173</v>
      </c>
      <c r="K7" s="12">
        <v>1.0308674442590109</v>
      </c>
      <c r="L7" s="12">
        <v>1.0118494140198431</v>
      </c>
      <c r="M7" s="12">
        <v>1.089425697136063</v>
      </c>
      <c r="N7" s="12">
        <v>1.2393827474867469</v>
      </c>
      <c r="O7" s="12" t="s">
        <v>197</v>
      </c>
      <c r="P7" s="12"/>
      <c r="Q7" s="12"/>
    </row>
    <row r="8" spans="1:31" s="2" customFormat="1" x14ac:dyDescent="0.15">
      <c r="A8" s="12">
        <v>3</v>
      </c>
      <c r="B8" s="12">
        <v>260610</v>
      </c>
      <c r="C8" s="12" t="s">
        <v>47</v>
      </c>
      <c r="D8" s="12" t="s">
        <v>20</v>
      </c>
      <c r="E8" s="12" t="s">
        <v>48</v>
      </c>
      <c r="F8" s="12">
        <v>8.6000000000000014</v>
      </c>
      <c r="G8" s="12">
        <v>1.331178166906837</v>
      </c>
      <c r="H8" s="12">
        <v>1.5180319849892721</v>
      </c>
      <c r="I8" s="12">
        <v>1.4319290869884951</v>
      </c>
      <c r="J8" s="12">
        <v>1.233809695484799</v>
      </c>
      <c r="K8" s="12">
        <v>1.03583748972303</v>
      </c>
      <c r="L8" s="12">
        <v>1.007728366582417</v>
      </c>
      <c r="M8" s="12">
        <v>1.070606619013124</v>
      </c>
      <c r="N8" s="12">
        <v>1.1968921927763521</v>
      </c>
      <c r="O8" s="12" t="s">
        <v>195</v>
      </c>
      <c r="P8" s="12"/>
      <c r="Q8" s="12"/>
    </row>
    <row r="9" spans="1:31" s="2" customFormat="1" x14ac:dyDescent="0.15">
      <c r="A9" s="12">
        <v>3</v>
      </c>
      <c r="B9" s="12">
        <v>260610</v>
      </c>
      <c r="C9" s="12" t="s">
        <v>49</v>
      </c>
      <c r="D9" s="12" t="s">
        <v>20</v>
      </c>
      <c r="E9" s="12" t="s">
        <v>50</v>
      </c>
      <c r="F9" s="12">
        <v>15.7</v>
      </c>
      <c r="G9" s="12">
        <v>1.6497629239904199</v>
      </c>
      <c r="H9" s="12">
        <v>1.813128933252937</v>
      </c>
      <c r="I9" s="12">
        <v>1.8232712980253769</v>
      </c>
      <c r="J9" s="12">
        <v>1.6965352881788029</v>
      </c>
      <c r="K9" s="12">
        <v>1.3966631454874081</v>
      </c>
      <c r="L9" s="12">
        <v>1.286440561429776</v>
      </c>
      <c r="M9" s="12">
        <v>1.299701342907736</v>
      </c>
      <c r="N9" s="12">
        <v>1.4139714906780321</v>
      </c>
      <c r="O9" s="12"/>
      <c r="P9" s="12"/>
      <c r="Q9" s="12"/>
    </row>
    <row r="10" spans="1:31" s="2" customFormat="1" x14ac:dyDescent="0.15">
      <c r="A10" s="12">
        <v>3</v>
      </c>
      <c r="B10" s="12">
        <v>260610</v>
      </c>
      <c r="C10" s="12" t="s">
        <v>53</v>
      </c>
      <c r="D10" s="12" t="s">
        <v>20</v>
      </c>
      <c r="E10" s="12" t="s">
        <v>54</v>
      </c>
      <c r="F10" s="12">
        <v>9.1000000000000014</v>
      </c>
      <c r="G10" s="12">
        <v>2.042583169242957</v>
      </c>
      <c r="H10" s="12">
        <v>2.4288471348780609</v>
      </c>
      <c r="I10" s="12">
        <v>2.4648903702764531</v>
      </c>
      <c r="J10" s="12">
        <v>2.150956376060996</v>
      </c>
      <c r="K10" s="12">
        <v>1.699454345276777</v>
      </c>
      <c r="L10" s="12">
        <v>1.524835832585139</v>
      </c>
      <c r="M10" s="12">
        <v>1.4249679854915089</v>
      </c>
      <c r="N10" s="12">
        <v>1.4239783113026629</v>
      </c>
      <c r="O10" s="12"/>
      <c r="P10" s="12"/>
      <c r="Q10" s="12"/>
    </row>
    <row r="11" spans="1:31" s="2" customFormat="1" x14ac:dyDescent="0.15">
      <c r="A11" s="12">
        <v>3</v>
      </c>
      <c r="B11" s="12">
        <v>260610</v>
      </c>
      <c r="C11" s="12" t="s">
        <v>32</v>
      </c>
      <c r="D11" s="12" t="s">
        <v>20</v>
      </c>
      <c r="E11" s="12" t="s">
        <v>55</v>
      </c>
      <c r="F11" s="12">
        <v>15</v>
      </c>
      <c r="G11" s="12">
        <v>2.3558070055390692</v>
      </c>
      <c r="H11" s="12">
        <v>2.5655909826553791</v>
      </c>
      <c r="I11" s="12">
        <v>2.7640731513505301</v>
      </c>
      <c r="J11" s="12">
        <v>2.826443141778749</v>
      </c>
      <c r="K11" s="12">
        <v>2.4753108565470039</v>
      </c>
      <c r="L11" s="12">
        <v>2.2407957363081632</v>
      </c>
      <c r="M11" s="12">
        <v>2.078289169112451</v>
      </c>
      <c r="N11" s="12">
        <v>2.0435055935326121</v>
      </c>
      <c r="O11" s="12"/>
      <c r="P11" s="12"/>
      <c r="Q11" s="12"/>
    </row>
    <row r="12" spans="1:31" s="2" customFormat="1" x14ac:dyDescent="0.15">
      <c r="A12" s="12">
        <v>3</v>
      </c>
      <c r="B12" s="12">
        <v>260610</v>
      </c>
      <c r="C12" s="12" t="s">
        <v>34</v>
      </c>
      <c r="D12" s="12" t="s">
        <v>20</v>
      </c>
      <c r="E12" s="12" t="s">
        <v>56</v>
      </c>
      <c r="F12" s="12">
        <v>13.3</v>
      </c>
      <c r="G12" s="12">
        <v>1.805335446668203</v>
      </c>
      <c r="H12" s="12">
        <v>1.9817771299361511</v>
      </c>
      <c r="I12" s="12">
        <v>1.819222100036076</v>
      </c>
      <c r="J12" s="12">
        <v>1.9097392845258301</v>
      </c>
      <c r="K12" s="12">
        <v>1.808768665785782</v>
      </c>
      <c r="L12" s="12">
        <v>1.614359807726419</v>
      </c>
      <c r="M12" s="12">
        <v>1.515963370614138</v>
      </c>
      <c r="N12" s="12">
        <v>1.5252726086701329</v>
      </c>
      <c r="O12" s="12" t="s">
        <v>196</v>
      </c>
      <c r="P12" s="12"/>
      <c r="Q12" s="12"/>
    </row>
    <row r="13" spans="1:31" s="2" customFormat="1" x14ac:dyDescent="0.15">
      <c r="A13" s="12">
        <v>6</v>
      </c>
      <c r="B13" s="12">
        <v>260702</v>
      </c>
      <c r="C13" s="12" t="s">
        <v>45</v>
      </c>
      <c r="D13" s="12" t="s">
        <v>58</v>
      </c>
      <c r="E13" s="12" t="s">
        <v>79</v>
      </c>
      <c r="F13" s="12">
        <v>3.2</v>
      </c>
      <c r="G13" s="12">
        <v>0.94436504267443422</v>
      </c>
      <c r="H13" s="12">
        <v>0.94189377033034571</v>
      </c>
      <c r="I13" s="12">
        <v>0.78573205847141936</v>
      </c>
      <c r="J13" s="12">
        <v>0.6657603537346064</v>
      </c>
      <c r="K13" s="12">
        <v>0.60499627405455803</v>
      </c>
      <c r="L13" s="12">
        <v>0.65513143958119113</v>
      </c>
      <c r="M13" s="12">
        <v>0.75771684627212765</v>
      </c>
      <c r="N13" s="12">
        <v>0.91625450908172446</v>
      </c>
      <c r="O13" s="12" t="s">
        <v>199</v>
      </c>
      <c r="P13" s="12"/>
      <c r="Q13" s="12"/>
    </row>
    <row r="14" spans="1:31" s="2" customFormat="1" x14ac:dyDescent="0.15">
      <c r="A14" s="12">
        <v>6</v>
      </c>
      <c r="B14" s="12">
        <v>260702</v>
      </c>
      <c r="C14" s="12" t="s">
        <v>80</v>
      </c>
      <c r="D14" s="12" t="s">
        <v>58</v>
      </c>
      <c r="E14" s="12" t="s">
        <v>81</v>
      </c>
      <c r="F14" s="12">
        <v>4.4000000000000004</v>
      </c>
      <c r="G14" s="12">
        <v>1.285676486432471</v>
      </c>
      <c r="H14" s="12">
        <v>1.368582885426237</v>
      </c>
      <c r="I14" s="12">
        <v>1.2817682082935631</v>
      </c>
      <c r="J14" s="12">
        <v>1.095770803688505</v>
      </c>
      <c r="K14" s="12">
        <v>0.94403074818321242</v>
      </c>
      <c r="L14" s="12">
        <v>0.95728759750088721</v>
      </c>
      <c r="M14" s="12">
        <v>1.055294705793405</v>
      </c>
      <c r="N14" s="12">
        <v>1.1957829353078451</v>
      </c>
      <c r="O14" s="12" t="s">
        <v>198</v>
      </c>
      <c r="P14" s="12"/>
      <c r="Q14" s="12"/>
    </row>
    <row r="15" spans="1:31" s="2" customFormat="1" x14ac:dyDescent="0.15">
      <c r="A15" s="12">
        <v>6</v>
      </c>
      <c r="B15" s="12">
        <v>260702</v>
      </c>
      <c r="C15" s="12" t="s">
        <v>34</v>
      </c>
      <c r="D15" s="12" t="s">
        <v>58</v>
      </c>
      <c r="E15" s="12" t="s">
        <v>88</v>
      </c>
      <c r="F15" s="12">
        <v>17.2</v>
      </c>
      <c r="G15" s="12">
        <v>2.1794971586212069</v>
      </c>
      <c r="H15" s="12">
        <v>2.406478403663884</v>
      </c>
      <c r="I15" s="12">
        <v>2.5164279757067489</v>
      </c>
      <c r="J15" s="12">
        <v>2.3153177013556121</v>
      </c>
      <c r="K15" s="12">
        <v>1.863512352412749</v>
      </c>
      <c r="L15" s="12">
        <v>1.732049973295525</v>
      </c>
      <c r="M15" s="12">
        <v>1.6612830518630379</v>
      </c>
      <c r="N15" s="12">
        <v>1.712162966927451</v>
      </c>
      <c r="O15" s="12" t="s">
        <v>196</v>
      </c>
      <c r="P15" s="12"/>
      <c r="Q15" s="12"/>
    </row>
    <row r="16" spans="1:31" s="2" customFormat="1" x14ac:dyDescent="0.15">
      <c r="A16" s="12">
        <v>6</v>
      </c>
      <c r="B16" s="12">
        <v>260702</v>
      </c>
      <c r="C16" s="12" t="s">
        <v>32</v>
      </c>
      <c r="D16" s="12" t="s">
        <v>58</v>
      </c>
      <c r="E16" s="12" t="s">
        <v>89</v>
      </c>
      <c r="F16" s="12">
        <v>22.13</v>
      </c>
      <c r="G16" s="12">
        <v>1.884321081569122</v>
      </c>
      <c r="H16" s="12">
        <v>2.056808721595424</v>
      </c>
      <c r="I16" s="12">
        <v>2.2175783044036859</v>
      </c>
      <c r="J16" s="12">
        <v>2.0838405017181829</v>
      </c>
      <c r="K16" s="12">
        <v>1.6992036853019681</v>
      </c>
      <c r="L16" s="12">
        <v>1.5692470119555251</v>
      </c>
      <c r="M16" s="12">
        <v>1.5173142472445831</v>
      </c>
      <c r="N16" s="12">
        <v>1.5737045605954501</v>
      </c>
      <c r="O16" s="12"/>
      <c r="P16" s="12"/>
      <c r="Q16" s="12"/>
    </row>
    <row r="17" spans="1:17" s="2" customFormat="1" x14ac:dyDescent="0.15">
      <c r="A17" s="12">
        <v>7</v>
      </c>
      <c r="B17" s="12">
        <v>260709</v>
      </c>
      <c r="C17" s="12" t="s">
        <v>36</v>
      </c>
      <c r="D17" s="12" t="s">
        <v>58</v>
      </c>
      <c r="E17" s="12" t="s">
        <v>90</v>
      </c>
      <c r="F17" s="12">
        <v>6.27</v>
      </c>
      <c r="G17" s="12">
        <v>2.3957447174942779</v>
      </c>
      <c r="H17" s="12">
        <v>2.4385592707526502</v>
      </c>
      <c r="I17" s="12">
        <v>2.8285741084756628</v>
      </c>
      <c r="J17" s="12">
        <v>2.7785097360088709</v>
      </c>
      <c r="K17" s="12">
        <v>2.670348214567499</v>
      </c>
      <c r="L17" s="12">
        <v>2.338441358728089</v>
      </c>
      <c r="M17" s="12">
        <v>2.165224231285376</v>
      </c>
      <c r="N17" s="12">
        <v>2.0010104690623831</v>
      </c>
      <c r="O17" s="12" t="s">
        <v>201</v>
      </c>
      <c r="P17" s="12"/>
      <c r="Q17" s="12"/>
    </row>
    <row r="18" spans="1:17" s="2" customFormat="1" x14ac:dyDescent="0.15">
      <c r="A18" s="12">
        <v>7</v>
      </c>
      <c r="B18" s="12">
        <v>260709</v>
      </c>
      <c r="C18" s="12" t="s">
        <v>19</v>
      </c>
      <c r="D18" s="12" t="s">
        <v>58</v>
      </c>
      <c r="E18" s="12" t="s">
        <v>91</v>
      </c>
      <c r="F18" s="12">
        <v>23.47</v>
      </c>
      <c r="G18" s="12">
        <v>2.002085416671525</v>
      </c>
      <c r="H18" s="12">
        <v>2.2691532488051989</v>
      </c>
      <c r="I18" s="12">
        <v>2.3051349712761682</v>
      </c>
      <c r="J18" s="12">
        <v>2.0936249059438801</v>
      </c>
      <c r="K18" s="12">
        <v>1.685522448285969</v>
      </c>
      <c r="L18" s="12">
        <v>1.6081588415725321</v>
      </c>
      <c r="M18" s="12">
        <v>1.5467499712584269</v>
      </c>
      <c r="N18" s="12">
        <v>1.5426175402986471</v>
      </c>
      <c r="O18" s="12"/>
      <c r="P18" s="12"/>
      <c r="Q18" s="12"/>
    </row>
    <row r="19" spans="1:17" s="2" customFormat="1" x14ac:dyDescent="0.15">
      <c r="A19" s="12">
        <v>7</v>
      </c>
      <c r="B19" s="12">
        <v>260709</v>
      </c>
      <c r="C19" s="12" t="s">
        <v>94</v>
      </c>
      <c r="D19" s="12" t="s">
        <v>58</v>
      </c>
      <c r="E19" s="12" t="s">
        <v>95</v>
      </c>
      <c r="F19" s="12">
        <v>3.73</v>
      </c>
      <c r="G19" s="12">
        <v>2.8705770967667581</v>
      </c>
      <c r="H19" s="12">
        <v>2.9549974011623972</v>
      </c>
      <c r="I19" s="12">
        <v>3.2499959678210382</v>
      </c>
      <c r="J19" s="12">
        <v>3.4604604515270778</v>
      </c>
      <c r="K19" s="12">
        <v>3.0834763885814169</v>
      </c>
      <c r="L19" s="12">
        <v>2.8046129214430531</v>
      </c>
      <c r="M19" s="12">
        <v>2.435095367805614</v>
      </c>
      <c r="N19" s="12">
        <v>2.164501276385375</v>
      </c>
      <c r="O19" s="12"/>
      <c r="P19" s="12"/>
      <c r="Q19" s="12"/>
    </row>
    <row r="20" spans="1:17" s="2" customFormat="1" x14ac:dyDescent="0.15"/>
    <row r="22" spans="1:17" s="2" customFormat="1" x14ac:dyDescent="0.15"/>
    <row r="23" spans="1:17" s="2" customFormat="1" x14ac:dyDescent="0.15">
      <c r="A23" s="2">
        <v>7</v>
      </c>
      <c r="B23" s="2">
        <v>260709</v>
      </c>
      <c r="C23" s="2" t="s">
        <v>96</v>
      </c>
      <c r="D23" s="2" t="s">
        <v>58</v>
      </c>
      <c r="E23" s="2" t="s">
        <v>97</v>
      </c>
      <c r="F23" s="2">
        <v>3.73</v>
      </c>
      <c r="G23" s="2">
        <v>4.0661700412766972</v>
      </c>
      <c r="H23" s="2">
        <v>4.9262963353873266</v>
      </c>
      <c r="I23" s="2">
        <v>2.7448467691620819</v>
      </c>
      <c r="J23" s="2">
        <v>4.3949057710946038</v>
      </c>
      <c r="K23" s="2">
        <v>3.8592405728884329</v>
      </c>
      <c r="L23" s="2">
        <v>2.7005248913758981</v>
      </c>
      <c r="M23" s="2">
        <v>2.435374989024754</v>
      </c>
      <c r="N23" s="2">
        <v>2.3411729427859682</v>
      </c>
      <c r="O23" s="2" t="s">
        <v>200</v>
      </c>
    </row>
    <row r="24" spans="1:17" s="2" customFormat="1" x14ac:dyDescent="0.15"/>
    <row r="25" spans="1:17" s="2" customFormat="1" x14ac:dyDescent="0.15">
      <c r="A25" s="2">
        <v>2</v>
      </c>
      <c r="B25" s="2">
        <v>260603</v>
      </c>
      <c r="C25" s="2" t="s">
        <v>36</v>
      </c>
      <c r="D25" s="2" t="s">
        <v>20</v>
      </c>
      <c r="E25" s="2" t="s">
        <v>38</v>
      </c>
      <c r="F25" s="2">
        <v>11.7</v>
      </c>
      <c r="G25" s="2">
        <v>2.398001285323188</v>
      </c>
      <c r="H25" s="2">
        <v>2.7359715285544781</v>
      </c>
      <c r="I25" s="2">
        <v>2.9007447744811161</v>
      </c>
      <c r="J25" s="2">
        <v>2.8404954587947748</v>
      </c>
      <c r="K25" s="2">
        <v>2.2260574046888699</v>
      </c>
      <c r="L25" s="2">
        <v>1.95505840522604</v>
      </c>
      <c r="M25" s="2">
        <v>1.657678111219038</v>
      </c>
      <c r="N25" s="2">
        <v>1.5638108578315171</v>
      </c>
    </row>
    <row r="26" spans="1:17" s="2" customFormat="1" x14ac:dyDescent="0.15">
      <c r="A26" s="2">
        <v>2</v>
      </c>
      <c r="B26" s="2">
        <v>260603</v>
      </c>
      <c r="C26" s="2" t="s">
        <v>19</v>
      </c>
      <c r="D26" s="2" t="s">
        <v>20</v>
      </c>
      <c r="E26" s="2" t="s">
        <v>39</v>
      </c>
      <c r="F26" s="2">
        <v>4.2</v>
      </c>
      <c r="G26" s="2">
        <v>1.9754335784580681</v>
      </c>
      <c r="H26" s="2">
        <v>2.3021579340357552</v>
      </c>
      <c r="I26" s="2">
        <v>2.1906084822830429</v>
      </c>
      <c r="J26" s="2">
        <v>1.794615055134144</v>
      </c>
      <c r="K26" s="2">
        <v>1.381167281653745</v>
      </c>
      <c r="L26" s="2">
        <v>1.237831548591606</v>
      </c>
      <c r="M26" s="2">
        <v>1.140692467974824</v>
      </c>
      <c r="N26" s="2">
        <v>1.0848474064293581</v>
      </c>
    </row>
    <row r="27" spans="1:17" s="2" customFormat="1" x14ac:dyDescent="0.15">
      <c r="A27" s="2">
        <v>2</v>
      </c>
      <c r="B27" s="2">
        <v>260603</v>
      </c>
      <c r="C27" s="2" t="s">
        <v>22</v>
      </c>
      <c r="D27" s="2" t="s">
        <v>20</v>
      </c>
      <c r="E27" s="2" t="s">
        <v>40</v>
      </c>
      <c r="F27" s="2">
        <v>3.4</v>
      </c>
      <c r="G27" s="2">
        <v>1.9970119751242059</v>
      </c>
      <c r="H27" s="2">
        <v>2.2233458623727298</v>
      </c>
      <c r="I27" s="2">
        <v>2.2685010747628951</v>
      </c>
      <c r="J27" s="2">
        <v>1.998628278172482</v>
      </c>
      <c r="K27" s="2">
        <v>1.634105292420164</v>
      </c>
      <c r="L27" s="2">
        <v>1.4725624728200271</v>
      </c>
      <c r="M27" s="2">
        <v>1.31358448948606</v>
      </c>
      <c r="N27" s="2">
        <v>1.24621830269356</v>
      </c>
    </row>
    <row r="28" spans="1:17" s="2" customFormat="1" x14ac:dyDescent="0.15">
      <c r="A28" s="2">
        <v>2</v>
      </c>
      <c r="B28" s="2">
        <v>260603</v>
      </c>
      <c r="C28" s="2" t="s">
        <v>24</v>
      </c>
      <c r="D28" s="2" t="s">
        <v>20</v>
      </c>
      <c r="E28" s="2" t="s">
        <v>41</v>
      </c>
      <c r="F28" s="2">
        <v>2.4</v>
      </c>
      <c r="G28" s="2">
        <v>6.3154597709349458</v>
      </c>
      <c r="H28" s="2">
        <v>6.8413731079576454</v>
      </c>
      <c r="I28" s="2">
        <v>1.7878569308385901</v>
      </c>
      <c r="J28" s="2">
        <v>1.784550613652188</v>
      </c>
      <c r="K28" s="2">
        <v>1.9765794227223681</v>
      </c>
      <c r="L28" s="2">
        <v>1.739365531688934</v>
      </c>
      <c r="M28" s="2">
        <v>1.4959115754686461</v>
      </c>
      <c r="N28" s="2">
        <v>1.404175709268874</v>
      </c>
    </row>
    <row r="29" spans="1:17" s="2" customFormat="1" x14ac:dyDescent="0.15">
      <c r="A29" s="2">
        <v>2</v>
      </c>
      <c r="B29" s="2">
        <v>260603</v>
      </c>
      <c r="C29" s="2" t="s">
        <v>26</v>
      </c>
      <c r="D29" s="2" t="s">
        <v>20</v>
      </c>
      <c r="E29" s="2" t="s">
        <v>42</v>
      </c>
      <c r="F29" s="2">
        <v>3.600000000000001</v>
      </c>
      <c r="G29" s="2">
        <v>2.3415400898711849</v>
      </c>
      <c r="H29" s="2">
        <v>2.616888026272294</v>
      </c>
      <c r="I29" s="2">
        <v>2.7502224676023781</v>
      </c>
      <c r="J29" s="2">
        <v>2.5440837856638971</v>
      </c>
      <c r="K29" s="2">
        <v>2.052388581612445</v>
      </c>
      <c r="L29" s="2">
        <v>1.7851922318611591</v>
      </c>
      <c r="M29" s="2">
        <v>1.5270786928737849</v>
      </c>
      <c r="N29" s="2">
        <v>1.3862357661405029</v>
      </c>
    </row>
    <row r="30" spans="1:17" s="2" customFormat="1" x14ac:dyDescent="0.15">
      <c r="A30" s="2">
        <v>2</v>
      </c>
      <c r="B30" s="2">
        <v>260603</v>
      </c>
      <c r="C30" s="2" t="s">
        <v>43</v>
      </c>
      <c r="D30" s="2" t="s">
        <v>20</v>
      </c>
      <c r="E30" s="2" t="s">
        <v>44</v>
      </c>
      <c r="F30" s="2">
        <v>2.8</v>
      </c>
      <c r="G30" s="2">
        <v>2.1289243155370561</v>
      </c>
      <c r="H30" s="2">
        <v>2.2215953930195829</v>
      </c>
      <c r="I30" s="2">
        <v>2.2379835297315949</v>
      </c>
      <c r="J30" s="2">
        <v>2.3922878442083668</v>
      </c>
      <c r="K30" s="2">
        <v>2.1385075681202288</v>
      </c>
      <c r="L30" s="2">
        <v>1.941385145828723</v>
      </c>
      <c r="M30" s="2">
        <v>1.741127014616052</v>
      </c>
      <c r="N30" s="2">
        <v>1.6312202747029561</v>
      </c>
    </row>
    <row r="31" spans="1:17" s="2" customFormat="1" x14ac:dyDescent="0.15">
      <c r="A31" s="2">
        <v>3</v>
      </c>
      <c r="B31" s="2">
        <v>260610</v>
      </c>
      <c r="C31" s="2" t="s">
        <v>45</v>
      </c>
      <c r="D31" s="2" t="s">
        <v>20</v>
      </c>
      <c r="E31" s="2" t="s">
        <v>46</v>
      </c>
      <c r="F31" s="2">
        <v>7</v>
      </c>
      <c r="G31" s="2">
        <v>1.3798652578615871</v>
      </c>
      <c r="H31" s="2">
        <v>1.6004900707651419</v>
      </c>
      <c r="I31" s="2">
        <v>1.4185815304944871</v>
      </c>
      <c r="J31" s="2">
        <v>1.20600799612173</v>
      </c>
      <c r="K31" s="2">
        <v>1.0308674442590109</v>
      </c>
      <c r="L31" s="2">
        <v>1.0118494140198431</v>
      </c>
      <c r="M31" s="2">
        <v>1.089425697136063</v>
      </c>
      <c r="N31" s="2">
        <v>1.2393827474867469</v>
      </c>
    </row>
    <row r="32" spans="1:17" s="2" customFormat="1" x14ac:dyDescent="0.15">
      <c r="A32" s="2">
        <v>3</v>
      </c>
      <c r="B32" s="2">
        <v>260610</v>
      </c>
      <c r="C32" s="2" t="s">
        <v>47</v>
      </c>
      <c r="D32" s="2" t="s">
        <v>20</v>
      </c>
      <c r="E32" s="2" t="s">
        <v>48</v>
      </c>
      <c r="F32" s="2">
        <v>8.6000000000000014</v>
      </c>
      <c r="G32" s="2">
        <v>1.331178166906837</v>
      </c>
      <c r="H32" s="2">
        <v>1.5180319849892721</v>
      </c>
      <c r="I32" s="2">
        <v>1.4319290869884951</v>
      </c>
      <c r="J32" s="2">
        <v>1.233809695484799</v>
      </c>
      <c r="K32" s="2">
        <v>1.03583748972303</v>
      </c>
      <c r="L32" s="2">
        <v>1.007728366582417</v>
      </c>
      <c r="M32" s="2">
        <v>1.070606619013124</v>
      </c>
      <c r="N32" s="2">
        <v>1.1968921927763521</v>
      </c>
    </row>
    <row r="33" spans="1:14" s="2" customFormat="1" x14ac:dyDescent="0.15">
      <c r="A33" s="2">
        <v>3</v>
      </c>
      <c r="B33" s="2">
        <v>260610</v>
      </c>
      <c r="C33" s="2" t="s">
        <v>49</v>
      </c>
      <c r="D33" s="2" t="s">
        <v>20</v>
      </c>
      <c r="E33" s="2" t="s">
        <v>50</v>
      </c>
      <c r="F33" s="2">
        <v>15.7</v>
      </c>
      <c r="G33" s="2">
        <v>1.6497629239904199</v>
      </c>
      <c r="H33" s="2">
        <v>1.813128933252937</v>
      </c>
      <c r="I33" s="2">
        <v>1.8232712980253769</v>
      </c>
      <c r="J33" s="2">
        <v>1.6965352881788029</v>
      </c>
      <c r="K33" s="2">
        <v>1.3966631454874081</v>
      </c>
      <c r="L33" s="2">
        <v>1.286440561429776</v>
      </c>
      <c r="M33" s="2">
        <v>1.299701342907736</v>
      </c>
      <c r="N33" s="2">
        <v>1.4139714906780321</v>
      </c>
    </row>
    <row r="34" spans="1:14" s="2" customFormat="1" x14ac:dyDescent="0.15">
      <c r="A34" s="2">
        <v>3</v>
      </c>
      <c r="B34" s="2">
        <v>260610</v>
      </c>
      <c r="C34" s="2" t="s">
        <v>51</v>
      </c>
      <c r="D34" s="2" t="s">
        <v>20</v>
      </c>
      <c r="E34" s="2" t="s">
        <v>52</v>
      </c>
      <c r="F34" s="2">
        <v>15.6</v>
      </c>
      <c r="G34" s="2">
        <v>4.4772767688945194</v>
      </c>
      <c r="H34" s="2">
        <v>4.6498878369239831</v>
      </c>
      <c r="I34" s="2">
        <v>5.73101427824494</v>
      </c>
      <c r="J34" s="2">
        <v>5.6149192179208063</v>
      </c>
      <c r="K34" s="2">
        <v>5.4177459435396473</v>
      </c>
      <c r="L34" s="2">
        <v>5.0801076306649806</v>
      </c>
      <c r="M34" s="2">
        <v>5.1247439985069123</v>
      </c>
      <c r="N34" s="2">
        <v>5.5845776212331346</v>
      </c>
    </row>
    <row r="35" spans="1:14" s="2" customFormat="1" x14ac:dyDescent="0.15">
      <c r="A35" s="2">
        <v>3</v>
      </c>
      <c r="B35" s="2">
        <v>260610</v>
      </c>
      <c r="C35" s="2" t="s">
        <v>53</v>
      </c>
      <c r="D35" s="2" t="s">
        <v>20</v>
      </c>
      <c r="E35" s="2" t="s">
        <v>54</v>
      </c>
      <c r="F35" s="2">
        <v>9.1000000000000014</v>
      </c>
      <c r="G35" s="2">
        <v>2.042583169242957</v>
      </c>
      <c r="H35" s="2">
        <v>2.4288471348780609</v>
      </c>
      <c r="I35" s="2">
        <v>2.4648903702764531</v>
      </c>
      <c r="J35" s="2">
        <v>2.150956376060996</v>
      </c>
      <c r="K35" s="2">
        <v>1.699454345276777</v>
      </c>
      <c r="L35" s="2">
        <v>1.524835832585139</v>
      </c>
      <c r="M35" s="2">
        <v>1.4249679854915089</v>
      </c>
      <c r="N35" s="2">
        <v>1.4239783113026629</v>
      </c>
    </row>
    <row r="36" spans="1:14" s="2" customFormat="1" x14ac:dyDescent="0.15">
      <c r="A36" s="2">
        <v>3</v>
      </c>
      <c r="B36" s="2">
        <v>260610</v>
      </c>
      <c r="C36" s="2" t="s">
        <v>32</v>
      </c>
      <c r="D36" s="2" t="s">
        <v>20</v>
      </c>
      <c r="E36" s="2" t="s">
        <v>55</v>
      </c>
      <c r="F36" s="2">
        <v>15</v>
      </c>
      <c r="G36" s="2">
        <v>2.3558070055390692</v>
      </c>
      <c r="H36" s="2">
        <v>2.5655909826553791</v>
      </c>
      <c r="I36" s="2">
        <v>2.7640731513505301</v>
      </c>
      <c r="J36" s="2">
        <v>2.826443141778749</v>
      </c>
      <c r="K36" s="2">
        <v>2.4753108565470039</v>
      </c>
      <c r="L36" s="2">
        <v>2.2407957363081632</v>
      </c>
      <c r="M36" s="2">
        <v>2.078289169112451</v>
      </c>
      <c r="N36" s="2">
        <v>2.0435055935326121</v>
      </c>
    </row>
    <row r="37" spans="1:14" s="2" customFormat="1" x14ac:dyDescent="0.15">
      <c r="A37" s="2">
        <v>3</v>
      </c>
      <c r="B37" s="2">
        <v>260610</v>
      </c>
      <c r="C37" s="2" t="s">
        <v>34</v>
      </c>
      <c r="D37" s="2" t="s">
        <v>20</v>
      </c>
      <c r="E37" s="2" t="s">
        <v>56</v>
      </c>
      <c r="F37" s="2">
        <v>13.3</v>
      </c>
      <c r="G37" s="2">
        <v>1.805335446668203</v>
      </c>
      <c r="H37" s="2">
        <v>1.9817771299361511</v>
      </c>
      <c r="I37" s="2">
        <v>1.819222100036076</v>
      </c>
      <c r="J37" s="2">
        <v>1.9097392845258301</v>
      </c>
      <c r="K37" s="2">
        <v>1.808768665785782</v>
      </c>
      <c r="L37" s="2">
        <v>1.614359807726419</v>
      </c>
      <c r="M37" s="2">
        <v>1.515963370614138</v>
      </c>
      <c r="N37" s="2">
        <v>1.5252726086701329</v>
      </c>
    </row>
    <row r="38" spans="1:14" s="2" customFormat="1" x14ac:dyDescent="0.15">
      <c r="A38" s="2">
        <v>6</v>
      </c>
      <c r="B38" s="2">
        <v>260702</v>
      </c>
      <c r="C38" s="2" t="s">
        <v>45</v>
      </c>
      <c r="D38" s="2" t="s">
        <v>58</v>
      </c>
      <c r="E38" s="2" t="s">
        <v>79</v>
      </c>
      <c r="F38" s="2">
        <v>3.2</v>
      </c>
      <c r="G38" s="2">
        <v>0.94436504267443422</v>
      </c>
      <c r="H38" s="2">
        <v>0.94189377033034571</v>
      </c>
      <c r="I38" s="2">
        <v>0.78573205847141936</v>
      </c>
      <c r="J38" s="2">
        <v>0.6657603537346064</v>
      </c>
      <c r="K38" s="2">
        <v>0.60499627405455803</v>
      </c>
      <c r="L38" s="2">
        <v>0.65513143958119113</v>
      </c>
      <c r="M38" s="2">
        <v>0.75771684627212765</v>
      </c>
      <c r="N38" s="2">
        <v>0.91625450908172446</v>
      </c>
    </row>
    <row r="39" spans="1:14" s="2" customFormat="1" x14ac:dyDescent="0.15">
      <c r="A39" s="2">
        <v>6</v>
      </c>
      <c r="B39" s="2">
        <v>260702</v>
      </c>
      <c r="C39" s="2" t="s">
        <v>80</v>
      </c>
      <c r="D39" s="2" t="s">
        <v>58</v>
      </c>
      <c r="E39" s="2" t="s">
        <v>81</v>
      </c>
      <c r="F39" s="2">
        <v>4.4000000000000004</v>
      </c>
      <c r="G39" s="2">
        <v>1.285676486432471</v>
      </c>
      <c r="H39" s="2">
        <v>1.368582885426237</v>
      </c>
      <c r="I39" s="2">
        <v>1.2817682082935631</v>
      </c>
      <c r="J39" s="2">
        <v>1.095770803688505</v>
      </c>
      <c r="K39" s="2">
        <v>0.94403074818321242</v>
      </c>
      <c r="L39" s="2">
        <v>0.95728759750088721</v>
      </c>
      <c r="M39" s="2">
        <v>1.055294705793405</v>
      </c>
      <c r="N39" s="2">
        <v>1.1957829353078451</v>
      </c>
    </row>
    <row r="40" spans="1:14" s="2" customFormat="1" x14ac:dyDescent="0.15">
      <c r="A40" s="2">
        <v>6</v>
      </c>
      <c r="B40" s="2">
        <v>260702</v>
      </c>
      <c r="C40" s="2" t="s">
        <v>82</v>
      </c>
      <c r="D40" s="2" t="s">
        <v>58</v>
      </c>
      <c r="E40" s="2" t="s">
        <v>83</v>
      </c>
      <c r="F40" s="2">
        <v>4.4000000000000004</v>
      </c>
      <c r="G40" s="2">
        <v>1.4464788599180529</v>
      </c>
      <c r="H40" s="2">
        <v>1.2303333796578031</v>
      </c>
      <c r="I40" s="2">
        <v>1.0307026336025851</v>
      </c>
      <c r="J40" s="2">
        <v>0.81964764862526185</v>
      </c>
      <c r="K40" s="2">
        <v>0.62040482008225573</v>
      </c>
      <c r="L40" s="2">
        <v>0.74058929710825216</v>
      </c>
      <c r="M40" s="2">
        <v>0.70703084062133126</v>
      </c>
      <c r="N40" s="2">
        <v>0.89416862281325626</v>
      </c>
    </row>
    <row r="41" spans="1:14" s="2" customFormat="1" x14ac:dyDescent="0.15">
      <c r="A41" s="2">
        <v>6</v>
      </c>
      <c r="B41" s="2">
        <v>260702</v>
      </c>
      <c r="C41" s="2" t="s">
        <v>49</v>
      </c>
      <c r="D41" s="2" t="s">
        <v>58</v>
      </c>
      <c r="E41" s="2" t="s">
        <v>84</v>
      </c>
      <c r="F41" s="2">
        <v>13.87</v>
      </c>
      <c r="G41" s="2">
        <v>1.3702808661272079</v>
      </c>
      <c r="H41" s="2">
        <v>1.303943262477546</v>
      </c>
      <c r="I41" s="2">
        <v>1.0590583867810479</v>
      </c>
      <c r="J41" s="2">
        <v>0.70976952613867561</v>
      </c>
      <c r="K41" s="2">
        <v>1.0242569006925351</v>
      </c>
      <c r="L41" s="2">
        <v>1.003491490649522</v>
      </c>
      <c r="M41" s="2">
        <v>1.061712201735622</v>
      </c>
      <c r="N41" s="2">
        <v>1.061092657774992</v>
      </c>
    </row>
    <row r="42" spans="1:14" s="2" customFormat="1" x14ac:dyDescent="0.15">
      <c r="A42" s="2">
        <v>6</v>
      </c>
      <c r="B42" s="2">
        <v>260702</v>
      </c>
      <c r="C42" s="2" t="s">
        <v>51</v>
      </c>
      <c r="D42" s="2" t="s">
        <v>58</v>
      </c>
      <c r="E42" s="2" t="s">
        <v>85</v>
      </c>
      <c r="F42" s="2">
        <v>26.2</v>
      </c>
      <c r="G42" s="2">
        <v>2.101183170277964</v>
      </c>
      <c r="H42" s="2">
        <v>2.3224341028148259</v>
      </c>
      <c r="I42" s="2">
        <v>2.1241328746066648</v>
      </c>
      <c r="J42" s="2">
        <v>1.6795845800549929</v>
      </c>
      <c r="K42" s="2">
        <v>1.330934842177069</v>
      </c>
      <c r="L42" s="2">
        <v>1.334808408204545</v>
      </c>
      <c r="M42" s="2">
        <v>1.2479525970417911</v>
      </c>
      <c r="N42" s="2">
        <v>1.458121529612546</v>
      </c>
    </row>
    <row r="43" spans="1:14" s="2" customFormat="1" x14ac:dyDescent="0.15">
      <c r="A43" s="2">
        <v>6</v>
      </c>
      <c r="B43" s="2">
        <v>260702</v>
      </c>
      <c r="C43" s="2" t="s">
        <v>53</v>
      </c>
      <c r="D43" s="2" t="s">
        <v>58</v>
      </c>
      <c r="E43" s="2" t="s">
        <v>86</v>
      </c>
      <c r="F43" s="2">
        <v>38.729999999999997</v>
      </c>
      <c r="G43" s="2">
        <v>2.394284651501315</v>
      </c>
      <c r="H43" s="2">
        <v>2.7747990261939499</v>
      </c>
      <c r="I43" s="2">
        <v>2.7549894619755579</v>
      </c>
      <c r="J43" s="2">
        <v>2.426931170010592</v>
      </c>
      <c r="K43" s="2">
        <v>1.8604956154874199</v>
      </c>
      <c r="L43" s="2">
        <v>1.678547350004562</v>
      </c>
      <c r="M43" s="2">
        <v>1.61973350288713</v>
      </c>
      <c r="N43" s="2">
        <v>1.718017349468165</v>
      </c>
    </row>
    <row r="44" spans="1:14" s="2" customFormat="1" x14ac:dyDescent="0.15">
      <c r="A44" s="2">
        <v>6</v>
      </c>
      <c r="B44" s="2">
        <v>260702</v>
      </c>
      <c r="C44" s="2" t="s">
        <v>75</v>
      </c>
      <c r="D44" s="2" t="s">
        <v>58</v>
      </c>
      <c r="E44" s="2" t="s">
        <v>87</v>
      </c>
      <c r="F44" s="2">
        <v>25</v>
      </c>
      <c r="G44" s="2">
        <v>2.0334270401856589</v>
      </c>
      <c r="H44" s="2">
        <v>2.0830541468524841</v>
      </c>
      <c r="I44" s="2">
        <v>1.762018739611686</v>
      </c>
      <c r="J44" s="2">
        <v>1.1299264212126701</v>
      </c>
      <c r="K44" s="2">
        <v>0.97729895724546723</v>
      </c>
      <c r="L44" s="2">
        <v>0.89578499053892202</v>
      </c>
      <c r="M44" s="2">
        <v>0.65929854247645892</v>
      </c>
      <c r="N44" s="2">
        <v>0.86097558205816904</v>
      </c>
    </row>
    <row r="45" spans="1:14" s="2" customFormat="1" x14ac:dyDescent="0.15">
      <c r="A45" s="2">
        <v>6</v>
      </c>
      <c r="B45" s="2">
        <v>260702</v>
      </c>
      <c r="C45" s="2" t="s">
        <v>34</v>
      </c>
      <c r="D45" s="2" t="s">
        <v>58</v>
      </c>
      <c r="E45" s="2" t="s">
        <v>88</v>
      </c>
      <c r="F45" s="2">
        <v>17.2</v>
      </c>
      <c r="G45" s="2">
        <v>2.1794971586212069</v>
      </c>
      <c r="H45" s="2">
        <v>2.406478403663884</v>
      </c>
      <c r="I45" s="2">
        <v>2.5164279757067489</v>
      </c>
      <c r="J45" s="2">
        <v>2.3153177013556121</v>
      </c>
      <c r="K45" s="2">
        <v>1.863512352412749</v>
      </c>
      <c r="L45" s="2">
        <v>1.732049973295525</v>
      </c>
      <c r="M45" s="2">
        <v>1.6612830518630379</v>
      </c>
      <c r="N45" s="2">
        <v>1.712162966927451</v>
      </c>
    </row>
    <row r="46" spans="1:14" s="2" customFormat="1" x14ac:dyDescent="0.15">
      <c r="A46" s="2">
        <v>6</v>
      </c>
      <c r="B46" s="2">
        <v>260702</v>
      </c>
      <c r="C46" s="2" t="s">
        <v>32</v>
      </c>
      <c r="D46" s="2" t="s">
        <v>58</v>
      </c>
      <c r="E46" s="2" t="s">
        <v>89</v>
      </c>
      <c r="F46" s="2">
        <v>22.13</v>
      </c>
      <c r="G46" s="2">
        <v>1.884321081569122</v>
      </c>
      <c r="H46" s="2">
        <v>2.056808721595424</v>
      </c>
      <c r="I46" s="2">
        <v>2.2175783044036859</v>
      </c>
      <c r="J46" s="2">
        <v>2.0838405017181829</v>
      </c>
      <c r="K46" s="2">
        <v>1.6992036853019681</v>
      </c>
      <c r="L46" s="2">
        <v>1.5692470119555251</v>
      </c>
      <c r="M46" s="2">
        <v>1.5173142472445831</v>
      </c>
      <c r="N46" s="2">
        <v>1.5737045605954501</v>
      </c>
    </row>
    <row r="47" spans="1:14" s="2" customFormat="1" x14ac:dyDescent="0.15">
      <c r="A47" s="2">
        <v>7</v>
      </c>
      <c r="B47" s="2">
        <v>260709</v>
      </c>
      <c r="C47" s="2" t="s">
        <v>36</v>
      </c>
      <c r="D47" s="2" t="s">
        <v>58</v>
      </c>
      <c r="E47" s="2" t="s">
        <v>90</v>
      </c>
      <c r="F47" s="2">
        <v>6.27</v>
      </c>
      <c r="G47" s="2">
        <v>2.3957447174942779</v>
      </c>
      <c r="H47" s="2">
        <v>2.4385592707526502</v>
      </c>
      <c r="I47" s="2">
        <v>2.8285741084756628</v>
      </c>
      <c r="J47" s="2">
        <v>2.7785097360088709</v>
      </c>
      <c r="K47" s="2">
        <v>2.670348214567499</v>
      </c>
      <c r="L47" s="2">
        <v>2.338441358728089</v>
      </c>
      <c r="M47" s="2">
        <v>2.165224231285376</v>
      </c>
      <c r="N47" s="2">
        <v>2.0010104690623831</v>
      </c>
    </row>
    <row r="48" spans="1:14" s="2" customFormat="1" x14ac:dyDescent="0.15">
      <c r="A48" s="2">
        <v>7</v>
      </c>
      <c r="B48" s="2">
        <v>260709</v>
      </c>
      <c r="C48" s="2" t="s">
        <v>19</v>
      </c>
      <c r="D48" s="2" t="s">
        <v>58</v>
      </c>
      <c r="E48" s="2" t="s">
        <v>91</v>
      </c>
      <c r="F48" s="2">
        <v>23.47</v>
      </c>
      <c r="G48" s="2">
        <v>2.002085416671525</v>
      </c>
      <c r="H48" s="2">
        <v>2.2691532488051989</v>
      </c>
      <c r="I48" s="2">
        <v>2.3051349712761682</v>
      </c>
      <c r="J48" s="2">
        <v>2.0936249059438801</v>
      </c>
      <c r="K48" s="2">
        <v>1.685522448285969</v>
      </c>
      <c r="L48" s="2">
        <v>1.6081588415725321</v>
      </c>
      <c r="M48" s="2">
        <v>1.5467499712584269</v>
      </c>
      <c r="N48" s="2">
        <v>1.5426175402986471</v>
      </c>
    </row>
    <row r="49" spans="1:14" s="2" customFormat="1" x14ac:dyDescent="0.15">
      <c r="A49" s="2">
        <v>7</v>
      </c>
      <c r="B49" s="2">
        <v>260709</v>
      </c>
      <c r="C49" s="2" t="s">
        <v>22</v>
      </c>
      <c r="D49" s="2" t="s">
        <v>58</v>
      </c>
      <c r="E49" s="2" t="s">
        <v>92</v>
      </c>
      <c r="F49" s="2">
        <v>8.5500000000000007</v>
      </c>
      <c r="G49" s="2">
        <v>1.8966608333525901</v>
      </c>
      <c r="H49" s="2">
        <v>2.299209642932269</v>
      </c>
      <c r="I49" s="2">
        <v>2.421192164900861</v>
      </c>
      <c r="J49" s="2">
        <v>2.183191112311702</v>
      </c>
      <c r="K49" s="2">
        <v>1.6635403759682039</v>
      </c>
      <c r="L49" s="2">
        <v>1.429532326586509</v>
      </c>
      <c r="M49" s="2">
        <v>1.259992381217562</v>
      </c>
      <c r="N49" s="2">
        <v>1.163053017326227</v>
      </c>
    </row>
    <row r="50" spans="1:14" s="2" customFormat="1" x14ac:dyDescent="0.15">
      <c r="A50" s="2">
        <v>7</v>
      </c>
      <c r="B50" s="2">
        <v>260709</v>
      </c>
      <c r="C50" s="2" t="s">
        <v>24</v>
      </c>
      <c r="D50" s="2" t="s">
        <v>58</v>
      </c>
      <c r="E50" s="2" t="s">
        <v>93</v>
      </c>
      <c r="F50" s="2">
        <v>3.23</v>
      </c>
      <c r="G50" s="2">
        <v>4.4121412540764986</v>
      </c>
      <c r="H50" s="2">
        <v>3.8756272752618388</v>
      </c>
      <c r="I50" s="2">
        <v>2.4303894911171451</v>
      </c>
      <c r="J50" s="2">
        <v>2.2644460643771849</v>
      </c>
      <c r="K50" s="2">
        <v>0.29039971188865638</v>
      </c>
      <c r="L50" s="2">
        <v>0.13666061785214639</v>
      </c>
      <c r="M50" s="2">
        <v>2.057171533563289</v>
      </c>
      <c r="N50" s="2">
        <v>0.21899489844226969</v>
      </c>
    </row>
    <row r="51" spans="1:14" s="2" customFormat="1" x14ac:dyDescent="0.15">
      <c r="A51" s="2">
        <v>7</v>
      </c>
      <c r="B51" s="2">
        <v>260709</v>
      </c>
      <c r="C51" s="2" t="s">
        <v>94</v>
      </c>
      <c r="D51" s="2" t="s">
        <v>58</v>
      </c>
      <c r="E51" s="2" t="s">
        <v>95</v>
      </c>
      <c r="F51" s="2">
        <v>3.73</v>
      </c>
      <c r="G51" s="2">
        <v>2.8705770967667581</v>
      </c>
      <c r="H51" s="2">
        <v>2.9549974011623972</v>
      </c>
      <c r="I51" s="2">
        <v>3.2499959678210382</v>
      </c>
      <c r="J51" s="2">
        <v>3.4604604515270778</v>
      </c>
      <c r="K51" s="2">
        <v>3.0834763885814169</v>
      </c>
      <c r="L51" s="2">
        <v>2.8046129214430531</v>
      </c>
      <c r="M51" s="2">
        <v>2.435095367805614</v>
      </c>
      <c r="N51" s="2">
        <v>2.164501276385375</v>
      </c>
    </row>
    <row r="52" spans="1:14" s="2" customFormat="1" x14ac:dyDescent="0.15">
      <c r="A52" s="2">
        <v>7</v>
      </c>
      <c r="B52" s="2">
        <v>260709</v>
      </c>
      <c r="C52" s="2" t="s">
        <v>96</v>
      </c>
      <c r="D52" s="2" t="s">
        <v>58</v>
      </c>
      <c r="E52" s="2" t="s">
        <v>97</v>
      </c>
      <c r="F52" s="2">
        <v>3.73</v>
      </c>
      <c r="G52" s="2">
        <v>4.0661700412766972</v>
      </c>
      <c r="H52" s="2">
        <v>4.9262963353873266</v>
      </c>
      <c r="I52" s="2">
        <v>2.7448467691620819</v>
      </c>
      <c r="J52" s="2">
        <v>4.3949057710946038</v>
      </c>
      <c r="K52" s="2">
        <v>3.8592405728884329</v>
      </c>
      <c r="L52" s="2">
        <v>2.7005248913758981</v>
      </c>
      <c r="M52" s="2">
        <v>2.435374989024754</v>
      </c>
      <c r="N52" s="2">
        <v>2.3411729427859682</v>
      </c>
    </row>
    <row r="53" spans="1:14" s="2" customFormat="1" x14ac:dyDescent="0.15">
      <c r="A53" s="2">
        <v>7</v>
      </c>
      <c r="B53" s="2">
        <v>260709</v>
      </c>
      <c r="C53" s="2" t="s">
        <v>43</v>
      </c>
      <c r="D53" s="2" t="s">
        <v>58</v>
      </c>
      <c r="E53" s="2" t="s">
        <v>98</v>
      </c>
      <c r="F53" s="2">
        <v>6.53</v>
      </c>
      <c r="G53" s="2">
        <v>6.3563258669107574</v>
      </c>
      <c r="H53" s="2">
        <v>7.0480413426013619</v>
      </c>
      <c r="I53" s="2">
        <v>3.8575091648218578</v>
      </c>
      <c r="J53" s="2">
        <v>4.1156977323817339</v>
      </c>
      <c r="K53" s="2">
        <v>1.9447050758146061</v>
      </c>
      <c r="L53" s="2">
        <v>1.188856333208564</v>
      </c>
      <c r="M53" s="2">
        <v>0.34723217688149072</v>
      </c>
      <c r="N53" s="2">
        <v>-0.10706280113249381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H24" sqref="H24"/>
    </sheetView>
  </sheetViews>
  <sheetFormatPr baseColWidth="10" defaultRowHeight="15" x14ac:dyDescent="0.2"/>
  <sheetData>
    <row r="1" spans="1:9" x14ac:dyDescent="0.2">
      <c r="A1" t="s">
        <v>166</v>
      </c>
    </row>
    <row r="2" spans="1:9" ht="16" customHeight="1" thickBot="1" x14ac:dyDescent="0.25"/>
    <row r="3" spans="1:9" x14ac:dyDescent="0.2">
      <c r="A3" s="5" t="s">
        <v>167</v>
      </c>
      <c r="B3" s="5"/>
    </row>
    <row r="4" spans="1:9" x14ac:dyDescent="0.2">
      <c r="A4" t="s">
        <v>168</v>
      </c>
      <c r="B4">
        <v>0.76151193945464835</v>
      </c>
    </row>
    <row r="5" spans="1:9" x14ac:dyDescent="0.2">
      <c r="A5" t="s">
        <v>169</v>
      </c>
      <c r="B5">
        <v>0.57990043393197999</v>
      </c>
    </row>
    <row r="6" spans="1:9" x14ac:dyDescent="0.2">
      <c r="A6" t="s">
        <v>170</v>
      </c>
      <c r="B6">
        <v>-5.0248915170050028E-2</v>
      </c>
    </row>
    <row r="7" spans="1:9" x14ac:dyDescent="0.2">
      <c r="A7" t="s">
        <v>171</v>
      </c>
      <c r="B7">
        <v>3.5809480827365512</v>
      </c>
    </row>
    <row r="8" spans="1:9" ht="16" customHeight="1" thickBot="1" x14ac:dyDescent="0.25">
      <c r="A8" s="3" t="s">
        <v>172</v>
      </c>
      <c r="B8" s="3">
        <v>6</v>
      </c>
    </row>
    <row r="10" spans="1:9" ht="16" customHeight="1" thickBot="1" x14ac:dyDescent="0.25">
      <c r="A10" t="s">
        <v>173</v>
      </c>
    </row>
    <row r="11" spans="1:9" x14ac:dyDescent="0.2">
      <c r="A11" s="4"/>
      <c r="B11" s="4" t="s">
        <v>174</v>
      </c>
      <c r="C11" s="4" t="s">
        <v>175</v>
      </c>
      <c r="D11" s="4" t="s">
        <v>176</v>
      </c>
      <c r="E11" s="4" t="s">
        <v>177</v>
      </c>
      <c r="F11" s="4" t="s">
        <v>178</v>
      </c>
    </row>
    <row r="12" spans="1:9" x14ac:dyDescent="0.2">
      <c r="A12" t="s">
        <v>179</v>
      </c>
      <c r="B12">
        <v>3</v>
      </c>
      <c r="C12">
        <v>35.401954990824152</v>
      </c>
      <c r="D12">
        <v>11.800651663608051</v>
      </c>
      <c r="E12">
        <v>0.92025872082284121</v>
      </c>
      <c r="F12">
        <v>0.55839889586586566</v>
      </c>
    </row>
    <row r="13" spans="1:9" x14ac:dyDescent="0.2">
      <c r="A13" t="s">
        <v>180</v>
      </c>
      <c r="B13">
        <v>2</v>
      </c>
      <c r="C13">
        <v>25.646378342509159</v>
      </c>
      <c r="D13">
        <v>12.82318917125458</v>
      </c>
    </row>
    <row r="14" spans="1:9" ht="16" customHeight="1" thickBot="1" x14ac:dyDescent="0.25">
      <c r="A14" s="3" t="s">
        <v>181</v>
      </c>
      <c r="B14" s="3">
        <v>5</v>
      </c>
      <c r="C14" s="3">
        <v>61.048333333333318</v>
      </c>
      <c r="D14" s="3"/>
      <c r="E14" s="3"/>
      <c r="F14" s="3"/>
    </row>
    <row r="15" spans="1:9" ht="16" customHeight="1" thickBot="1" x14ac:dyDescent="0.25"/>
    <row r="16" spans="1:9" x14ac:dyDescent="0.2">
      <c r="A16" s="4"/>
      <c r="B16" s="4" t="s">
        <v>182</v>
      </c>
      <c r="C16" s="4" t="s">
        <v>171</v>
      </c>
      <c r="D16" s="4" t="s">
        <v>183</v>
      </c>
      <c r="E16" s="4" t="s">
        <v>184</v>
      </c>
      <c r="F16" s="4" t="s">
        <v>185</v>
      </c>
      <c r="G16" s="4" t="s">
        <v>186</v>
      </c>
      <c r="H16" s="4" t="s">
        <v>187</v>
      </c>
      <c r="I16" s="4" t="s">
        <v>188</v>
      </c>
    </row>
    <row r="17" spans="1:9" x14ac:dyDescent="0.2">
      <c r="A17" t="s">
        <v>189</v>
      </c>
      <c r="B17">
        <v>-15.39919741910634</v>
      </c>
      <c r="C17">
        <v>14.17769392292354</v>
      </c>
      <c r="D17">
        <v>-1.086156712285048</v>
      </c>
      <c r="E17">
        <v>0.39088831502364041</v>
      </c>
      <c r="F17">
        <v>-76.400890878125708</v>
      </c>
      <c r="G17">
        <v>45.602496039913028</v>
      </c>
      <c r="H17">
        <v>-76.400890878125708</v>
      </c>
      <c r="I17">
        <v>45.602496039913028</v>
      </c>
    </row>
    <row r="18" spans="1:9" x14ac:dyDescent="0.2">
      <c r="A18" t="s">
        <v>5</v>
      </c>
      <c r="B18">
        <v>0.7869912782312527</v>
      </c>
      <c r="C18">
        <v>1.526514710772628</v>
      </c>
      <c r="D18">
        <v>0.5155477852112712</v>
      </c>
      <c r="E18">
        <v>0.65750112940482575</v>
      </c>
      <c r="F18">
        <v>-5.7810714090773088</v>
      </c>
      <c r="G18">
        <v>7.3550539655398142</v>
      </c>
      <c r="H18">
        <v>-5.7810714090773088</v>
      </c>
      <c r="I18">
        <v>7.3550539655398142</v>
      </c>
    </row>
    <row r="19" spans="1:9" x14ac:dyDescent="0.2">
      <c r="A19" t="s">
        <v>7</v>
      </c>
      <c r="B19">
        <v>8.6714797209944923</v>
      </c>
      <c r="C19">
        <v>6.897666395916553</v>
      </c>
      <c r="D19">
        <v>1.2571613678110101</v>
      </c>
      <c r="E19">
        <v>0.33561176273933202</v>
      </c>
      <c r="F19">
        <v>-21.006783426297009</v>
      </c>
      <c r="G19">
        <v>38.349742868285993</v>
      </c>
      <c r="H19">
        <v>-21.006783426297009</v>
      </c>
      <c r="I19">
        <v>38.349742868285993</v>
      </c>
    </row>
    <row r="20" spans="1:9" ht="16" customHeight="1" thickBot="1" x14ac:dyDescent="0.25">
      <c r="A20" s="3" t="s">
        <v>9</v>
      </c>
      <c r="B20" s="3">
        <v>-1.366142110638366</v>
      </c>
      <c r="C20" s="3">
        <v>6.9300656040713209</v>
      </c>
      <c r="D20" s="3">
        <v>-0.1971326375086227</v>
      </c>
      <c r="E20" s="3">
        <v>0.86194100941091922</v>
      </c>
      <c r="F20" s="3">
        <v>-31.183807799338702</v>
      </c>
      <c r="G20" s="3">
        <v>28.45152357806197</v>
      </c>
      <c r="H20" s="3">
        <v>-31.183807799338702</v>
      </c>
      <c r="I20" s="3">
        <v>28.45152357806197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selection activeCell="A3" sqref="A3:I21"/>
    </sheetView>
  </sheetViews>
  <sheetFormatPr baseColWidth="10" defaultRowHeight="15" x14ac:dyDescent="0.2"/>
  <sheetData>
    <row r="1" spans="1:9" x14ac:dyDescent="0.2">
      <c r="A1" t="s">
        <v>166</v>
      </c>
    </row>
    <row r="2" spans="1:9" ht="16" customHeight="1" thickBot="1" x14ac:dyDescent="0.25"/>
    <row r="3" spans="1:9" x14ac:dyDescent="0.2">
      <c r="A3" s="5" t="s">
        <v>167</v>
      </c>
      <c r="B3" s="5"/>
    </row>
    <row r="4" spans="1:9" x14ac:dyDescent="0.2">
      <c r="A4" t="s">
        <v>168</v>
      </c>
      <c r="B4">
        <v>0.61439597235404875</v>
      </c>
    </row>
    <row r="5" spans="1:9" x14ac:dyDescent="0.2">
      <c r="A5" t="s">
        <v>169</v>
      </c>
      <c r="B5">
        <v>0.37748241084487699</v>
      </c>
    </row>
    <row r="6" spans="1:9" x14ac:dyDescent="0.2">
      <c r="A6" t="s">
        <v>170</v>
      </c>
      <c r="B6">
        <v>0.16997654779316931</v>
      </c>
    </row>
    <row r="7" spans="1:9" x14ac:dyDescent="0.2">
      <c r="A7" t="s">
        <v>171</v>
      </c>
      <c r="B7">
        <v>4.6923988266462757</v>
      </c>
    </row>
    <row r="8" spans="1:9" ht="16" customHeight="1" thickBot="1" x14ac:dyDescent="0.25">
      <c r="A8" s="3" t="s">
        <v>172</v>
      </c>
      <c r="B8" s="3">
        <v>13</v>
      </c>
    </row>
    <row r="10" spans="1:9" ht="16" customHeight="1" thickBot="1" x14ac:dyDescent="0.25">
      <c r="A10" t="s">
        <v>173</v>
      </c>
    </row>
    <row r="11" spans="1:9" x14ac:dyDescent="0.2">
      <c r="A11" s="4"/>
      <c r="B11" s="4" t="s">
        <v>174</v>
      </c>
      <c r="C11" s="4" t="s">
        <v>175</v>
      </c>
      <c r="D11" s="4" t="s">
        <v>176</v>
      </c>
      <c r="E11" s="4" t="s">
        <v>177</v>
      </c>
      <c r="F11" s="4" t="s">
        <v>178</v>
      </c>
    </row>
    <row r="12" spans="1:9" x14ac:dyDescent="0.2">
      <c r="A12" t="s">
        <v>179</v>
      </c>
      <c r="B12">
        <v>3</v>
      </c>
      <c r="C12">
        <v>120.1648469575055</v>
      </c>
      <c r="D12">
        <v>40.054948985835154</v>
      </c>
      <c r="E12">
        <v>1.819140940373398</v>
      </c>
      <c r="F12">
        <v>0.2137948021930681</v>
      </c>
    </row>
    <row r="13" spans="1:9" x14ac:dyDescent="0.2">
      <c r="A13" t="s">
        <v>180</v>
      </c>
      <c r="B13">
        <v>9</v>
      </c>
      <c r="C13">
        <v>198.16746073480209</v>
      </c>
      <c r="D13">
        <v>22.018606748311349</v>
      </c>
    </row>
    <row r="14" spans="1:9" ht="16" customHeight="1" thickBot="1" x14ac:dyDescent="0.25">
      <c r="A14" s="3" t="s">
        <v>181</v>
      </c>
      <c r="B14" s="3">
        <v>12</v>
      </c>
      <c r="C14" s="3">
        <v>318.33230769230761</v>
      </c>
      <c r="D14" s="3"/>
      <c r="E14" s="3"/>
      <c r="F14" s="3"/>
    </row>
    <row r="15" spans="1:9" ht="16" customHeight="1" thickBot="1" x14ac:dyDescent="0.25"/>
    <row r="16" spans="1:9" x14ac:dyDescent="0.2">
      <c r="A16" s="4"/>
      <c r="B16" s="4" t="s">
        <v>182</v>
      </c>
      <c r="C16" s="4" t="s">
        <v>171</v>
      </c>
      <c r="D16" s="4" t="s">
        <v>183</v>
      </c>
      <c r="E16" s="4" t="s">
        <v>184</v>
      </c>
      <c r="F16" s="4" t="s">
        <v>185</v>
      </c>
      <c r="G16" s="4" t="s">
        <v>186</v>
      </c>
      <c r="H16" s="4" t="s">
        <v>187</v>
      </c>
      <c r="I16" s="4" t="s">
        <v>188</v>
      </c>
    </row>
    <row r="17" spans="1:9" x14ac:dyDescent="0.2">
      <c r="A17" t="s">
        <v>189</v>
      </c>
      <c r="B17">
        <v>9.7366254048772998</v>
      </c>
      <c r="C17">
        <v>4.539159094957431</v>
      </c>
      <c r="D17">
        <v>2.14502845156799</v>
      </c>
      <c r="E17">
        <v>6.0524205385574292E-2</v>
      </c>
      <c r="F17">
        <v>-0.53166585486127182</v>
      </c>
      <c r="G17">
        <v>20.00491666461587</v>
      </c>
      <c r="H17">
        <v>-0.53166585486127182</v>
      </c>
      <c r="I17">
        <v>20.00491666461587</v>
      </c>
    </row>
    <row r="18" spans="1:9" x14ac:dyDescent="0.2">
      <c r="A18" t="s">
        <v>5</v>
      </c>
      <c r="B18">
        <v>-2.369012849563886</v>
      </c>
      <c r="C18">
        <v>1.339143483539039</v>
      </c>
      <c r="D18">
        <v>-1.7690507990250199</v>
      </c>
      <c r="E18">
        <v>0.11067207207551349</v>
      </c>
      <c r="F18">
        <v>-5.3983658728662638</v>
      </c>
      <c r="G18">
        <v>0.66034017373849263</v>
      </c>
      <c r="H18">
        <v>-5.3983658728662638</v>
      </c>
      <c r="I18">
        <v>0.66034017373849263</v>
      </c>
    </row>
    <row r="19" spans="1:9" x14ac:dyDescent="0.2">
      <c r="A19" t="s">
        <v>7</v>
      </c>
      <c r="B19">
        <v>-4.4088680112548664</v>
      </c>
      <c r="C19">
        <v>5.1831989103022753</v>
      </c>
      <c r="D19">
        <v>-0.85060752781292526</v>
      </c>
      <c r="E19">
        <v>0.41704259429035628</v>
      </c>
      <c r="F19">
        <v>-16.134078552403011</v>
      </c>
      <c r="G19">
        <v>7.3163425298932783</v>
      </c>
      <c r="H19">
        <v>-16.134078552403011</v>
      </c>
      <c r="I19">
        <v>7.3163425298932783</v>
      </c>
    </row>
    <row r="20" spans="1:9" ht="16" customHeight="1" thickBot="1" x14ac:dyDescent="0.25">
      <c r="A20" s="3" t="s">
        <v>9</v>
      </c>
      <c r="B20" s="3">
        <v>7.6645066243786824</v>
      </c>
      <c r="C20" s="3">
        <v>5.5926119134933918</v>
      </c>
      <c r="D20" s="3">
        <v>1.3704699598208121</v>
      </c>
      <c r="E20" s="3">
        <v>0.20374834857581101</v>
      </c>
      <c r="F20" s="3">
        <v>-4.986860474480971</v>
      </c>
      <c r="G20" s="3">
        <v>20.31587372323834</v>
      </c>
      <c r="H20" s="3">
        <v>-4.986860474480971</v>
      </c>
      <c r="I20" s="3">
        <v>20.31587372323834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D343-5F3B-134E-ADBB-BE9B7851046F}">
  <dimension ref="A1:I27"/>
  <sheetViews>
    <sheetView workbookViewId="0">
      <selection activeCell="F44" sqref="F44"/>
    </sheetView>
  </sheetViews>
  <sheetFormatPr baseColWidth="10" defaultRowHeight="15" x14ac:dyDescent="0.2"/>
  <sheetData>
    <row r="1" spans="1:9" x14ac:dyDescent="0.2">
      <c r="A1" t="s">
        <v>166</v>
      </c>
    </row>
    <row r="2" spans="1:9" ht="16" thickBot="1" x14ac:dyDescent="0.25"/>
    <row r="3" spans="1:9" x14ac:dyDescent="0.2">
      <c r="A3" s="9" t="s">
        <v>167</v>
      </c>
      <c r="B3" s="9"/>
    </row>
    <row r="4" spans="1:9" x14ac:dyDescent="0.2">
      <c r="A4" s="6" t="s">
        <v>168</v>
      </c>
      <c r="B4" s="6">
        <v>0.36057180460711624</v>
      </c>
    </row>
    <row r="5" spans="1:9" x14ac:dyDescent="0.2">
      <c r="A5" s="6" t="s">
        <v>169</v>
      </c>
      <c r="B5" s="6">
        <v>0.13001202627763242</v>
      </c>
    </row>
    <row r="6" spans="1:9" x14ac:dyDescent="0.2">
      <c r="A6" s="6" t="s">
        <v>170</v>
      </c>
      <c r="B6" s="6">
        <v>2.5613469430948312E-2</v>
      </c>
    </row>
    <row r="7" spans="1:9" x14ac:dyDescent="0.2">
      <c r="A7" s="6" t="s">
        <v>171</v>
      </c>
      <c r="B7" s="6">
        <v>8.896204276793398</v>
      </c>
    </row>
    <row r="8" spans="1:9" ht="16" thickBot="1" x14ac:dyDescent="0.25">
      <c r="A8" s="7" t="s">
        <v>172</v>
      </c>
      <c r="B8" s="7">
        <v>29</v>
      </c>
    </row>
    <row r="10" spans="1:9" ht="16" thickBot="1" x14ac:dyDescent="0.25">
      <c r="A10" t="s">
        <v>173</v>
      </c>
    </row>
    <row r="11" spans="1:9" x14ac:dyDescent="0.2">
      <c r="A11" s="8"/>
      <c r="B11" s="8" t="s">
        <v>174</v>
      </c>
      <c r="C11" s="8" t="s">
        <v>175</v>
      </c>
      <c r="D11" s="8" t="s">
        <v>176</v>
      </c>
      <c r="E11" s="8" t="s">
        <v>177</v>
      </c>
      <c r="F11" s="8" t="s">
        <v>178</v>
      </c>
    </row>
    <row r="12" spans="1:9" x14ac:dyDescent="0.2">
      <c r="A12" s="6" t="s">
        <v>179</v>
      </c>
      <c r="B12" s="6">
        <v>3</v>
      </c>
      <c r="C12" s="6">
        <v>295.67852284596825</v>
      </c>
      <c r="D12" s="6">
        <v>98.559507615322744</v>
      </c>
      <c r="E12" s="6">
        <v>1.2453431369608234</v>
      </c>
      <c r="F12" s="6">
        <v>0.31438716354529472</v>
      </c>
    </row>
    <row r="13" spans="1:9" x14ac:dyDescent="0.2">
      <c r="A13" s="6" t="s">
        <v>180</v>
      </c>
      <c r="B13" s="6">
        <v>25</v>
      </c>
      <c r="C13" s="6">
        <v>1978.5612633609287</v>
      </c>
      <c r="D13" s="6">
        <v>79.142450534437145</v>
      </c>
      <c r="E13" s="6"/>
      <c r="F13" s="6"/>
    </row>
    <row r="14" spans="1:9" ht="16" thickBot="1" x14ac:dyDescent="0.25">
      <c r="A14" s="7" t="s">
        <v>181</v>
      </c>
      <c r="B14" s="7">
        <v>28</v>
      </c>
      <c r="C14" s="7">
        <v>2274.239786206897</v>
      </c>
      <c r="D14" s="7"/>
      <c r="E14" s="7"/>
      <c r="F14" s="7"/>
    </row>
    <row r="15" spans="1:9" ht="16" thickBot="1" x14ac:dyDescent="0.25"/>
    <row r="16" spans="1:9" x14ac:dyDescent="0.2">
      <c r="A16" s="8"/>
      <c r="B16" s="8" t="s">
        <v>182</v>
      </c>
      <c r="C16" s="8" t="s">
        <v>171</v>
      </c>
      <c r="D16" s="8" t="s">
        <v>183</v>
      </c>
      <c r="E16" s="8" t="s">
        <v>184</v>
      </c>
      <c r="F16" s="8" t="s">
        <v>185</v>
      </c>
      <c r="G16" s="8" t="s">
        <v>186</v>
      </c>
      <c r="H16" s="8" t="s">
        <v>187</v>
      </c>
      <c r="I16" s="8" t="s">
        <v>188</v>
      </c>
    </row>
    <row r="17" spans="1:9" x14ac:dyDescent="0.2">
      <c r="A17" s="6" t="s">
        <v>189</v>
      </c>
      <c r="B17" s="6">
        <v>9.4787031700211593</v>
      </c>
      <c r="C17" s="6">
        <v>4.503767014103353</v>
      </c>
      <c r="D17" s="6">
        <v>2.1046166776254207</v>
      </c>
      <c r="E17" s="6">
        <v>4.5544892496938362E-2</v>
      </c>
      <c r="F17" s="6">
        <v>0.20302137185669883</v>
      </c>
      <c r="G17" s="6">
        <v>18.754384968185619</v>
      </c>
      <c r="H17" s="6">
        <v>0.20302137185669883</v>
      </c>
      <c r="I17" s="6">
        <v>18.754384968185619</v>
      </c>
    </row>
    <row r="18" spans="1:9" x14ac:dyDescent="0.2">
      <c r="A18" s="6" t="s">
        <v>5</v>
      </c>
      <c r="B18" s="6">
        <v>-2.5526810752345619</v>
      </c>
      <c r="C18" s="6">
        <v>1.5175423248250501</v>
      </c>
      <c r="D18" s="6">
        <v>-1.6821152421754351</v>
      </c>
      <c r="E18" s="6">
        <v>0.10499756095352004</v>
      </c>
      <c r="F18" s="6">
        <v>-5.6781179986466208</v>
      </c>
      <c r="G18" s="6">
        <v>0.57275584817749658</v>
      </c>
      <c r="H18" s="6">
        <v>-5.6781179986466208</v>
      </c>
      <c r="I18" s="6">
        <v>0.57275584817749658</v>
      </c>
    </row>
    <row r="19" spans="1:9" x14ac:dyDescent="0.2">
      <c r="A19" s="6" t="s">
        <v>7</v>
      </c>
      <c r="B19" s="6">
        <v>5.506713544220176</v>
      </c>
      <c r="C19" s="6">
        <v>3.4824066172986221</v>
      </c>
      <c r="D19" s="6">
        <v>1.5812953940720031</v>
      </c>
      <c r="E19" s="6">
        <v>0.12638094248802939</v>
      </c>
      <c r="F19" s="6">
        <v>-1.6654371404695352</v>
      </c>
      <c r="G19" s="6">
        <v>12.678864228909887</v>
      </c>
      <c r="H19" s="6">
        <v>-1.6654371404695352</v>
      </c>
      <c r="I19" s="6">
        <v>12.678864228909887</v>
      </c>
    </row>
    <row r="20" spans="1:9" ht="16" thickBot="1" x14ac:dyDescent="0.25">
      <c r="A20" s="7" t="s">
        <v>9</v>
      </c>
      <c r="B20" s="7">
        <v>-2.618303900288943</v>
      </c>
      <c r="C20" s="7">
        <v>2.9452741064978021</v>
      </c>
      <c r="D20" s="7">
        <v>-0.88898479585057832</v>
      </c>
      <c r="E20" s="7">
        <v>0.38248563033696803</v>
      </c>
      <c r="F20" s="7">
        <v>-8.684209471047188</v>
      </c>
      <c r="G20" s="7">
        <v>3.447601670469302</v>
      </c>
      <c r="H20" s="7">
        <v>-8.684209471047188</v>
      </c>
      <c r="I20" s="7">
        <v>3.447601670469302</v>
      </c>
    </row>
    <row r="27" spans="1:9" x14ac:dyDescent="0.2">
      <c r="G27" t="s">
        <v>190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0358-C086-0E42-832A-E1FC6FF1138B}">
  <dimension ref="A1:I20"/>
  <sheetViews>
    <sheetView workbookViewId="0">
      <selection sqref="A1:I23"/>
    </sheetView>
  </sheetViews>
  <sheetFormatPr baseColWidth="10" defaultRowHeight="15" x14ac:dyDescent="0.2"/>
  <sheetData>
    <row r="1" spans="1:9" x14ac:dyDescent="0.2">
      <c r="A1" t="s">
        <v>166</v>
      </c>
    </row>
    <row r="2" spans="1:9" ht="16" thickBot="1" x14ac:dyDescent="0.25"/>
    <row r="3" spans="1:9" x14ac:dyDescent="0.2">
      <c r="A3" s="9" t="s">
        <v>167</v>
      </c>
      <c r="B3" s="9"/>
    </row>
    <row r="4" spans="1:9" x14ac:dyDescent="0.2">
      <c r="A4" s="6" t="s">
        <v>168</v>
      </c>
      <c r="B4" s="6">
        <v>0.33087890147972032</v>
      </c>
    </row>
    <row r="5" spans="1:9" x14ac:dyDescent="0.2">
      <c r="A5" s="6" t="s">
        <v>169</v>
      </c>
      <c r="B5" s="6">
        <v>0.10948084744442647</v>
      </c>
    </row>
    <row r="6" spans="1:9" x14ac:dyDescent="0.2">
      <c r="A6" s="6" t="s">
        <v>170</v>
      </c>
      <c r="B6" s="6">
        <v>-0.18735887007409804</v>
      </c>
    </row>
    <row r="7" spans="1:9" x14ac:dyDescent="0.2">
      <c r="A7" s="6" t="s">
        <v>171</v>
      </c>
      <c r="B7" s="6">
        <v>6.2837974913794561</v>
      </c>
    </row>
    <row r="8" spans="1:9" ht="16" thickBot="1" x14ac:dyDescent="0.25">
      <c r="A8" s="7" t="s">
        <v>172</v>
      </c>
      <c r="B8" s="7">
        <v>13</v>
      </c>
    </row>
    <row r="10" spans="1:9" ht="16" thickBot="1" x14ac:dyDescent="0.25">
      <c r="A10" t="s">
        <v>173</v>
      </c>
    </row>
    <row r="11" spans="1:9" x14ac:dyDescent="0.2">
      <c r="A11" s="8"/>
      <c r="B11" s="8" t="s">
        <v>174</v>
      </c>
      <c r="C11" s="8" t="s">
        <v>175</v>
      </c>
      <c r="D11" s="8" t="s">
        <v>176</v>
      </c>
      <c r="E11" s="8" t="s">
        <v>177</v>
      </c>
      <c r="F11" s="8" t="s">
        <v>178</v>
      </c>
    </row>
    <row r="12" spans="1:9" x14ac:dyDescent="0.2">
      <c r="A12" s="6" t="s">
        <v>179</v>
      </c>
      <c r="B12" s="6">
        <v>3</v>
      </c>
      <c r="C12" s="6">
        <v>43.689971016768595</v>
      </c>
      <c r="D12" s="6">
        <v>14.563323672256198</v>
      </c>
      <c r="E12" s="6">
        <v>0.3688214244362169</v>
      </c>
      <c r="F12" s="6">
        <v>0.777451995031753</v>
      </c>
    </row>
    <row r="13" spans="1:9" x14ac:dyDescent="0.2">
      <c r="A13" s="6" t="s">
        <v>180</v>
      </c>
      <c r="B13" s="6">
        <v>9</v>
      </c>
      <c r="C13" s="6">
        <v>355.3749982140007</v>
      </c>
      <c r="D13" s="6">
        <v>39.486110912666746</v>
      </c>
      <c r="E13" s="6"/>
      <c r="F13" s="6"/>
    </row>
    <row r="14" spans="1:9" ht="16" thickBot="1" x14ac:dyDescent="0.25">
      <c r="A14" s="7" t="s">
        <v>181</v>
      </c>
      <c r="B14" s="7">
        <v>12</v>
      </c>
      <c r="C14" s="7">
        <v>399.06496923076929</v>
      </c>
      <c r="D14" s="7"/>
      <c r="E14" s="7"/>
      <c r="F14" s="7"/>
    </row>
    <row r="15" spans="1:9" ht="16" thickBot="1" x14ac:dyDescent="0.25"/>
    <row r="16" spans="1:9" x14ac:dyDescent="0.2">
      <c r="A16" s="8"/>
      <c r="B16" s="8" t="s">
        <v>182</v>
      </c>
      <c r="C16" s="8" t="s">
        <v>171</v>
      </c>
      <c r="D16" s="8" t="s">
        <v>183</v>
      </c>
      <c r="E16" s="8" t="s">
        <v>184</v>
      </c>
      <c r="F16" s="8" t="s">
        <v>185</v>
      </c>
      <c r="G16" s="8" t="s">
        <v>186</v>
      </c>
      <c r="H16" s="8" t="s">
        <v>187</v>
      </c>
      <c r="I16" s="8" t="s">
        <v>188</v>
      </c>
    </row>
    <row r="17" spans="1:9" x14ac:dyDescent="0.2">
      <c r="A17" s="6" t="s">
        <v>189</v>
      </c>
      <c r="B17" s="6">
        <v>7.8862279076680553</v>
      </c>
      <c r="C17" s="6">
        <v>9.3016817489487291</v>
      </c>
      <c r="D17" s="6">
        <v>0.84782817994814241</v>
      </c>
      <c r="E17" s="6">
        <v>0.4185097064839608</v>
      </c>
      <c r="F17" s="6">
        <v>-13.15563808678565</v>
      </c>
      <c r="G17" s="6">
        <v>28.928093902121759</v>
      </c>
      <c r="H17" s="6">
        <v>-13.15563808678565</v>
      </c>
      <c r="I17" s="6">
        <v>28.928093902121759</v>
      </c>
    </row>
    <row r="18" spans="1:9" x14ac:dyDescent="0.2">
      <c r="A18" s="6" t="s">
        <v>5</v>
      </c>
      <c r="B18" s="6">
        <v>-1.154320356372069</v>
      </c>
      <c r="C18" s="6">
        <v>1.162637032527593</v>
      </c>
      <c r="D18" s="6">
        <v>-0.99284671318490225</v>
      </c>
      <c r="E18" s="6">
        <v>0.34672620184823644</v>
      </c>
      <c r="F18" s="6">
        <v>-3.7843880472388136</v>
      </c>
      <c r="G18" s="6">
        <v>1.4757473344946754</v>
      </c>
      <c r="H18" s="6">
        <v>-3.7843880472388136</v>
      </c>
      <c r="I18" s="6">
        <v>1.4757473344946754</v>
      </c>
    </row>
    <row r="19" spans="1:9" x14ac:dyDescent="0.2">
      <c r="A19" s="6" t="s">
        <v>7</v>
      </c>
      <c r="B19" s="6">
        <v>1.6034052752632835</v>
      </c>
      <c r="C19" s="6">
        <v>3.7594008737213431</v>
      </c>
      <c r="D19" s="6">
        <v>0.42650553349372133</v>
      </c>
      <c r="E19" s="6">
        <v>0.6797596766102374</v>
      </c>
      <c r="F19" s="6">
        <v>-6.9009503390552842</v>
      </c>
      <c r="G19" s="6">
        <v>10.107760889581851</v>
      </c>
      <c r="H19" s="6">
        <v>-6.9009503390552842</v>
      </c>
      <c r="I19" s="6">
        <v>10.107760889581851</v>
      </c>
    </row>
    <row r="20" spans="1:9" ht="16" thickBot="1" x14ac:dyDescent="0.25">
      <c r="A20" s="7" t="s">
        <v>9</v>
      </c>
      <c r="B20" s="7">
        <v>-0.9726006944070823</v>
      </c>
      <c r="C20" s="7">
        <v>2.2724619014748151</v>
      </c>
      <c r="D20" s="7">
        <v>-0.42799427958544428</v>
      </c>
      <c r="E20" s="7">
        <v>0.67871466958390736</v>
      </c>
      <c r="F20" s="7">
        <v>-6.1132666620143645</v>
      </c>
      <c r="G20" s="7">
        <v>4.1680652732002006</v>
      </c>
      <c r="H20" s="7">
        <v>-6.1132666620143645</v>
      </c>
      <c r="I20" s="7">
        <v>4.1680652732002006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3EBD-3408-1846-9700-929D418BB8A2}">
  <dimension ref="A1:I20"/>
  <sheetViews>
    <sheetView workbookViewId="0">
      <selection activeCell="D28" sqref="D28"/>
    </sheetView>
  </sheetViews>
  <sheetFormatPr baseColWidth="10" defaultRowHeight="15" x14ac:dyDescent="0.2"/>
  <sheetData>
    <row r="1" spans="1:9" x14ac:dyDescent="0.2">
      <c r="A1" t="s">
        <v>166</v>
      </c>
    </row>
    <row r="2" spans="1:9" ht="16" thickBot="1" x14ac:dyDescent="0.25"/>
    <row r="3" spans="1:9" x14ac:dyDescent="0.2">
      <c r="A3" s="9" t="s">
        <v>167</v>
      </c>
      <c r="B3" s="9"/>
    </row>
    <row r="4" spans="1:9" x14ac:dyDescent="0.2">
      <c r="A4" s="6" t="s">
        <v>168</v>
      </c>
      <c r="B4" s="6">
        <v>0.70756098515082799</v>
      </c>
    </row>
    <row r="5" spans="1:9" x14ac:dyDescent="0.2">
      <c r="A5" s="6" t="s">
        <v>169</v>
      </c>
      <c r="B5" s="6">
        <v>0.5006425477076103</v>
      </c>
    </row>
    <row r="6" spans="1:9" x14ac:dyDescent="0.2">
      <c r="A6" s="6" t="s">
        <v>170</v>
      </c>
      <c r="B6" s="6">
        <v>0.3758031846345129</v>
      </c>
    </row>
    <row r="7" spans="1:9" x14ac:dyDescent="0.2">
      <c r="A7" s="6" t="s">
        <v>171</v>
      </c>
      <c r="B7" s="6">
        <v>7.5033817811576311</v>
      </c>
    </row>
    <row r="8" spans="1:9" ht="16" thickBot="1" x14ac:dyDescent="0.25">
      <c r="A8" s="7" t="s">
        <v>172</v>
      </c>
      <c r="B8" s="7">
        <v>16</v>
      </c>
    </row>
    <row r="10" spans="1:9" ht="16" thickBot="1" x14ac:dyDescent="0.25">
      <c r="A10" t="s">
        <v>173</v>
      </c>
    </row>
    <row r="11" spans="1:9" x14ac:dyDescent="0.2">
      <c r="A11" s="8"/>
      <c r="B11" s="8" t="s">
        <v>174</v>
      </c>
      <c r="C11" s="8" t="s">
        <v>175</v>
      </c>
      <c r="D11" s="8" t="s">
        <v>176</v>
      </c>
      <c r="E11" s="8" t="s">
        <v>177</v>
      </c>
      <c r="F11" s="8" t="s">
        <v>178</v>
      </c>
    </row>
    <row r="12" spans="1:9" x14ac:dyDescent="0.2">
      <c r="A12" s="6" t="s">
        <v>179</v>
      </c>
      <c r="B12" s="6">
        <v>3</v>
      </c>
      <c r="C12" s="6">
        <v>677.3475359043008</v>
      </c>
      <c r="D12" s="6">
        <v>225.78251196810027</v>
      </c>
      <c r="E12" s="6">
        <v>4.0102939920837972</v>
      </c>
      <c r="F12" s="6">
        <v>3.4341247116800151E-2</v>
      </c>
    </row>
    <row r="13" spans="1:9" x14ac:dyDescent="0.2">
      <c r="A13" s="6" t="s">
        <v>180</v>
      </c>
      <c r="B13" s="6">
        <v>12</v>
      </c>
      <c r="C13" s="6">
        <v>675.60885784569916</v>
      </c>
      <c r="D13" s="6">
        <v>56.300738153808261</v>
      </c>
      <c r="E13" s="6"/>
      <c r="F13" s="6"/>
    </row>
    <row r="14" spans="1:9" ht="16" thickBot="1" x14ac:dyDescent="0.25">
      <c r="A14" s="7" t="s">
        <v>181</v>
      </c>
      <c r="B14" s="7">
        <v>15</v>
      </c>
      <c r="C14" s="7">
        <v>1352.95639375</v>
      </c>
      <c r="D14" s="7"/>
      <c r="E14" s="7"/>
      <c r="F14" s="7"/>
    </row>
    <row r="15" spans="1:9" ht="16" thickBot="1" x14ac:dyDescent="0.25"/>
    <row r="16" spans="1:9" x14ac:dyDescent="0.2">
      <c r="A16" s="8"/>
      <c r="B16" s="8" t="s">
        <v>182</v>
      </c>
      <c r="C16" s="8" t="s">
        <v>171</v>
      </c>
      <c r="D16" s="8" t="s">
        <v>183</v>
      </c>
      <c r="E16" s="8" t="s">
        <v>184</v>
      </c>
      <c r="F16" s="8" t="s">
        <v>185</v>
      </c>
      <c r="G16" s="8" t="s">
        <v>186</v>
      </c>
      <c r="H16" s="8" t="s">
        <v>187</v>
      </c>
      <c r="I16" s="8" t="s">
        <v>188</v>
      </c>
    </row>
    <row r="17" spans="1:9" x14ac:dyDescent="0.2">
      <c r="A17" s="6" t="s">
        <v>189</v>
      </c>
      <c r="B17" s="6">
        <v>-6.1146654210504821</v>
      </c>
      <c r="C17" s="6">
        <v>8.1401710482004663</v>
      </c>
      <c r="D17" s="6">
        <v>-0.75117161357466078</v>
      </c>
      <c r="E17" s="6">
        <v>0.46702563997897029</v>
      </c>
      <c r="F17" s="6">
        <v>-23.850574536555389</v>
      </c>
      <c r="G17" s="6">
        <v>11.621243694454424</v>
      </c>
      <c r="H17" s="6">
        <v>-23.850574536555389</v>
      </c>
      <c r="I17" s="6">
        <v>11.621243694454424</v>
      </c>
    </row>
    <row r="18" spans="1:9" x14ac:dyDescent="0.2">
      <c r="A18" s="6" t="s">
        <v>5</v>
      </c>
      <c r="B18" s="6">
        <v>15.660456094136467</v>
      </c>
      <c r="C18" s="6">
        <v>13.475505033139877</v>
      </c>
      <c r="D18" s="6">
        <v>1.1621424247642824</v>
      </c>
      <c r="E18" s="6">
        <v>0.26777027569779421</v>
      </c>
      <c r="F18" s="6">
        <v>-13.700147158314007</v>
      </c>
      <c r="G18" s="6">
        <v>45.021059346586938</v>
      </c>
      <c r="H18" s="6">
        <v>-13.700147158314007</v>
      </c>
      <c r="I18" s="6">
        <v>45.021059346586938</v>
      </c>
    </row>
    <row r="19" spans="1:9" x14ac:dyDescent="0.2">
      <c r="A19" s="6" t="s">
        <v>7</v>
      </c>
      <c r="B19" s="6">
        <v>10.692011305247455</v>
      </c>
      <c r="C19" s="6">
        <v>12.252851286955263</v>
      </c>
      <c r="D19" s="6">
        <v>0.8726141413819718</v>
      </c>
      <c r="E19" s="6">
        <v>0.39999745929873165</v>
      </c>
      <c r="F19" s="6">
        <v>-16.004658278775285</v>
      </c>
      <c r="G19" s="6">
        <v>37.388680889270191</v>
      </c>
      <c r="H19" s="6">
        <v>-16.004658278775285</v>
      </c>
      <c r="I19" s="6">
        <v>37.388680889270191</v>
      </c>
    </row>
    <row r="20" spans="1:9" ht="16" thickBot="1" x14ac:dyDescent="0.25">
      <c r="A20" s="7" t="s">
        <v>9</v>
      </c>
      <c r="B20" s="7">
        <v>-19.22850811845608</v>
      </c>
      <c r="C20" s="7">
        <v>7.4111112243807789</v>
      </c>
      <c r="D20" s="7">
        <v>-2.5945512806768978</v>
      </c>
      <c r="E20" s="7">
        <v>2.346032649084822E-2</v>
      </c>
      <c r="F20" s="7">
        <v>-35.37593233622772</v>
      </c>
      <c r="G20" s="7">
        <v>-3.0810839006844373</v>
      </c>
      <c r="H20" s="7">
        <v>-35.37593233622772</v>
      </c>
      <c r="I20" s="7">
        <v>-3.0810839006844373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Kd</vt:lpstr>
      <vt:lpstr>MLR</vt:lpstr>
      <vt:lpstr>C 2</vt:lpstr>
      <vt:lpstr>C 2+3</vt:lpstr>
      <vt:lpstr>C 2,3,6,7</vt:lpstr>
      <vt:lpstr>C RIVER</vt:lpstr>
      <vt:lpstr>C 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Morales, Diego Eraldo</cp:lastModifiedBy>
  <dcterms:created xsi:type="dcterms:W3CDTF">2026-09-23T22:38:39Z</dcterms:created>
  <dcterms:modified xsi:type="dcterms:W3CDTF">2026-09-29T17:15:16Z</dcterms:modified>
</cp:coreProperties>
</file>