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240" yWindow="0" windowWidth="38400" windowHeight="21600" tabRatio="600" firstSheet="0" activeTab="0" autoFilterDateGrouping="1"/>
  </bookViews>
  <sheets>
    <sheet name="Kd" sheetId="1" state="visible" r:id="rId1"/>
    <sheet name="MLR" sheetId="2" state="visible" r:id="rId2"/>
    <sheet name="C 2" sheetId="3" state="visible" r:id="rId3"/>
    <sheet name="C 2+3" sheetId="4" state="visible" r:id="rId4"/>
    <sheet name="C 2,3,6,7" sheetId="5" state="visible" r:id="rId5"/>
    <sheet name="C RIVER" sheetId="6" state="visible" r:id="rId6"/>
    <sheet name="C EST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imes New Roman"/>
      <family val="1"/>
      <b val="1"/>
      <sz val="11"/>
    </font>
    <font>
      <name val="Times New Roman"/>
      <family val="1"/>
      <color theme="1"/>
      <sz val="11"/>
    </font>
    <font>
      <name val="Calibri"/>
      <family val="2"/>
      <i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  <xf numFmtId="0" fontId="0" fillId="0" borderId="2" pivotButton="0" quotePrefix="0" xfId="0"/>
    <xf numFmtId="0" fontId="3" fillId="0" borderId="3" applyAlignment="1" pivotButton="0" quotePrefix="0" xfId="0">
      <alignment horizontal="center"/>
    </xf>
    <xf numFmtId="0" fontId="3" fillId="0" borderId="3" applyAlignment="1" pivotButton="0" quotePrefix="0" xfId="0">
      <alignment horizontal="centerContinuous"/>
    </xf>
    <xf numFmtId="0" fontId="1" fillId="2" borderId="1" applyAlignment="1" pivotButton="0" quotePrefix="0" xfId="0">
      <alignment horizontal="center" vertical="top"/>
    </xf>
    <xf numFmtId="0" fontId="1" fillId="2" borderId="4" applyAlignment="1" pivotButton="0" quotePrefix="0" xfId="0">
      <alignment horizontal="center" vertical="top"/>
    </xf>
    <xf numFmtId="0" fontId="2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tabSelected="1" workbookViewId="0">
      <selection activeCell="A2" sqref="A2:E103"/>
    </sheetView>
  </sheetViews>
  <sheetFormatPr baseColWidth="10" defaultColWidth="8.83203125" defaultRowHeight="15"/>
  <cols>
    <col width="25.5" customWidth="1" min="5" max="5"/>
    <col width="16.6640625" customWidth="1" min="14" max="14"/>
    <col width="10.1640625" customWidth="1" min="17" max="17"/>
    <col width="10.33203125" customWidth="1" min="18" max="18"/>
    <col width="10.5" customWidth="1" min="19" max="19"/>
  </cols>
  <sheetData>
    <row r="1">
      <c r="A1" s="1" t="inlineStr">
        <is>
          <t>Cruise_#</t>
        </is>
      </c>
      <c r="B1" s="1" t="inlineStr">
        <is>
          <t>Date</t>
        </is>
      </c>
      <c r="C1" s="1" t="inlineStr">
        <is>
          <t>Station</t>
        </is>
      </c>
      <c r="D1" s="1" t="inlineStr">
        <is>
          <t>SSD_ID</t>
        </is>
      </c>
      <c r="E1" s="1" t="inlineStr">
        <is>
          <t>Filename</t>
        </is>
      </c>
      <c r="F1" s="1" t="inlineStr">
        <is>
          <t>415nm</t>
        </is>
      </c>
      <c r="G1" s="1" t="inlineStr">
        <is>
          <t>445nm</t>
        </is>
      </c>
      <c r="H1" s="1" t="inlineStr">
        <is>
          <t>480nm</t>
        </is>
      </c>
      <c r="I1" s="1" t="inlineStr">
        <is>
          <t>515nm</t>
        </is>
      </c>
      <c r="J1" s="1" t="inlineStr">
        <is>
          <t>555nm</t>
        </is>
      </c>
      <c r="K1" s="1" t="inlineStr">
        <is>
          <t>590nm</t>
        </is>
      </c>
      <c r="L1" s="1" t="inlineStr">
        <is>
          <t>630nm</t>
        </is>
      </c>
      <c r="M1" s="1" t="inlineStr">
        <is>
          <t>680nm</t>
        </is>
      </c>
      <c r="N1" s="1" t="inlineStr">
        <is>
          <t>µg Chl a/L, direct</t>
        </is>
      </c>
      <c r="O1" s="1" t="inlineStr">
        <is>
          <t>EXO2s</t>
        </is>
      </c>
      <c r="P1" s="1" t="inlineStr">
        <is>
          <t>DE</t>
        </is>
      </c>
      <c r="Q1" s="1" t="inlineStr">
        <is>
          <t>Xing 412</t>
        </is>
      </c>
      <c r="R1" s="1" t="inlineStr">
        <is>
          <t>Xing 490</t>
        </is>
      </c>
      <c r="S1" s="1" t="inlineStr">
        <is>
          <t>Xing 555</t>
        </is>
      </c>
      <c r="T1" s="1" t="n"/>
      <c r="U1" s="1" t="n"/>
      <c r="V1" s="1" t="n"/>
      <c r="W1" s="1" t="n"/>
      <c r="X1" s="1" t="n"/>
      <c r="Y1" s="2" t="n"/>
      <c r="Z1" s="2" t="n"/>
    </row>
    <row r="2">
      <c r="A2" s="2" t="n">
        <v>1</v>
      </c>
      <c r="B2" s="2" t="n">
        <v>260527</v>
      </c>
      <c r="C2" s="2" t="inlineStr">
        <is>
          <t>NC11</t>
        </is>
      </c>
      <c r="D2" s="2" t="inlineStr">
        <is>
          <t>A016</t>
        </is>
      </c>
      <c r="E2" s="2" t="inlineStr">
        <is>
          <t>260527-01(NC11)-A016.txt</t>
        </is>
      </c>
      <c r="F2" s="2" t="n">
        <v>1.119242763036773</v>
      </c>
      <c r="G2" s="2" t="n">
        <v>1.536891157661021</v>
      </c>
      <c r="H2" s="2" t="n">
        <v>1.519560004007728</v>
      </c>
      <c r="I2" s="2" t="n">
        <v>1.186009490342327</v>
      </c>
      <c r="J2" s="2" t="n">
        <v>0.9329466270124147</v>
      </c>
      <c r="K2" s="2" t="n">
        <v>0.8268191140740115</v>
      </c>
      <c r="L2" s="2" t="n">
        <v>0.8163827446395568</v>
      </c>
      <c r="M2" s="2" t="n">
        <v>0.8263702205678979</v>
      </c>
      <c r="N2" s="2" t="n"/>
      <c r="O2" s="2" t="n"/>
      <c r="P2" s="2" t="n"/>
      <c r="Q2" s="2">
        <f>((F2- 0.00793) / 0.1333)^(1/0.6199)</f>
        <v/>
      </c>
      <c r="R2" s="2">
        <f>((H2- 0.0166) / 0.0825)^(1/0.6529)</f>
        <v/>
      </c>
      <c r="S2" s="2">
        <f>((J2- 0.06053) / 0.0561)^(1/0.507)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2" t="n">
        <v>1</v>
      </c>
      <c r="B3" s="2" t="n">
        <v>260527</v>
      </c>
      <c r="C3" s="2" t="inlineStr">
        <is>
          <t>ACME</t>
        </is>
      </c>
      <c r="D3" s="2" t="inlineStr">
        <is>
          <t>A016</t>
        </is>
      </c>
      <c r="E3" s="2" t="inlineStr">
        <is>
          <t>260527-02(ACME)-A016.txt</t>
        </is>
      </c>
      <c r="F3" s="2" t="n">
        <v>2.619013729427187</v>
      </c>
      <c r="G3" s="2" t="n">
        <v>3.145652515851481</v>
      </c>
      <c r="H3" s="2" t="n">
        <v>3.091638481805127</v>
      </c>
      <c r="I3" s="2" t="n">
        <v>2.647589919852179</v>
      </c>
      <c r="J3" s="2" t="n">
        <v>2.181784964542895</v>
      </c>
      <c r="K3" s="2" t="n">
        <v>2.006507142139323</v>
      </c>
      <c r="L3" s="2" t="n">
        <v>1.912040178684529</v>
      </c>
      <c r="M3" s="2" t="n">
        <v>1.858109947557485</v>
      </c>
      <c r="N3" s="2" t="n"/>
      <c r="O3" s="2" t="n"/>
      <c r="P3" s="2" t="n"/>
      <c r="Q3" s="2">
        <f>((F3- 0.00793) / 0.1333)^(1/0.6199)</f>
        <v/>
      </c>
      <c r="R3" s="2">
        <f>((H3- 0.0166) / 0.0825)^(1/0.6529)</f>
        <v/>
      </c>
      <c r="S3" s="2">
        <f>((J3- 0.06053) / 0.0561)^(1/0.507)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2" t="n">
        <v>1</v>
      </c>
      <c r="B4" s="2" t="n">
        <v>260527</v>
      </c>
      <c r="C4" s="2" t="inlineStr">
        <is>
          <t>DP</t>
        </is>
      </c>
      <c r="D4" s="2" t="inlineStr">
        <is>
          <t>A016</t>
        </is>
      </c>
      <c r="E4" s="2" t="inlineStr">
        <is>
          <t>260527-03(DP)-A016.txt</t>
        </is>
      </c>
      <c r="F4" s="2" t="n">
        <v>2.948691060955135</v>
      </c>
      <c r="G4" s="2" t="n">
        <v>3.43233754008345</v>
      </c>
      <c r="H4" s="2" t="n">
        <v>3.32925970660447</v>
      </c>
      <c r="I4" s="2" t="n">
        <v>2.826528095288675</v>
      </c>
      <c r="J4" s="2" t="n">
        <v>2.360208671045593</v>
      </c>
      <c r="K4" s="2" t="n">
        <v>2.146048548259279</v>
      </c>
      <c r="L4" s="2" t="n">
        <v>1.980876402943929</v>
      </c>
      <c r="M4" s="2" t="n">
        <v>1.946857121442979</v>
      </c>
      <c r="N4" s="2" t="n"/>
      <c r="O4" s="2" t="n"/>
      <c r="P4" s="2" t="n"/>
      <c r="Q4" s="2">
        <f>((F4- 0.00793) / 0.1333)^(1/0.6199)</f>
        <v/>
      </c>
      <c r="R4" s="2">
        <f>((H4- 0.0166) / 0.0825)^(1/0.6529)</f>
        <v/>
      </c>
      <c r="S4" s="2">
        <f>((J4- 0.06053) / 0.0561)^(1/0.507)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2" t="n">
        <v>1</v>
      </c>
      <c r="B5" s="2" t="n">
        <v>260527</v>
      </c>
      <c r="C5" s="2" t="inlineStr">
        <is>
          <t>BBT</t>
        </is>
      </c>
      <c r="D5" s="2" t="inlineStr">
        <is>
          <t>A016</t>
        </is>
      </c>
      <c r="E5" s="2" t="inlineStr">
        <is>
          <t>260527-04(BBT)-A016.txt</t>
        </is>
      </c>
      <c r="F5" s="2" t="n">
        <v>3.121198636954932</v>
      </c>
      <c r="G5" s="2" t="n">
        <v>3.465578786739102</v>
      </c>
      <c r="H5" s="2" t="n">
        <v>4.00557838020304</v>
      </c>
      <c r="I5" s="2" t="n">
        <v>3.74646154947198</v>
      </c>
      <c r="J5" s="2" t="n">
        <v>3.222996450264855</v>
      </c>
      <c r="K5" s="2" t="n">
        <v>2.973808891720946</v>
      </c>
      <c r="L5" s="2" t="n">
        <v>2.720026222195035</v>
      </c>
      <c r="M5" s="2" t="n">
        <v>2.598542936877962</v>
      </c>
      <c r="N5" s="2" t="n"/>
      <c r="O5" s="2" t="n"/>
      <c r="P5" s="2" t="n"/>
      <c r="Q5" s="2">
        <f>((F5- 0.00793) / 0.1333)^(1/0.6199)</f>
        <v/>
      </c>
      <c r="R5" s="2">
        <f>((H5- 0.0166) / 0.0825)^(1/0.6529)</f>
        <v/>
      </c>
      <c r="S5" s="2">
        <f>((J5- 0.06053) / 0.0561)^(1/0.507)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2" t="n">
        <v>1</v>
      </c>
      <c r="B6" s="2" t="n">
        <v>260527</v>
      </c>
      <c r="C6" s="2" t="inlineStr">
        <is>
          <t>IC-1</t>
        </is>
      </c>
      <c r="D6" s="2" t="inlineStr">
        <is>
          <t>A016</t>
        </is>
      </c>
      <c r="E6" s="2" t="inlineStr">
        <is>
          <t>260527-05(IC-1)-A016.txt</t>
        </is>
      </c>
      <c r="F6" s="2" t="n">
        <v>2.740689373314657</v>
      </c>
      <c r="G6" s="2" t="n">
        <v>3.40767144145191</v>
      </c>
      <c r="H6" s="2" t="n">
        <v>3.593477305149944</v>
      </c>
      <c r="I6" s="2" t="n">
        <v>3.088307684589311</v>
      </c>
      <c r="J6" s="2" t="n">
        <v>2.520142746479511</v>
      </c>
      <c r="K6" s="2" t="n">
        <v>2.188298248849204</v>
      </c>
      <c r="L6" s="2" t="n">
        <v>1.954743737392542</v>
      </c>
      <c r="M6" s="2" t="n">
        <v>1.736545647143509</v>
      </c>
      <c r="N6" s="2" t="n"/>
      <c r="O6" s="2" t="n"/>
      <c r="P6" s="2" t="n"/>
      <c r="Q6" s="2">
        <f>((F6- 0.00793) / 0.1333)^(1/0.6199)</f>
        <v/>
      </c>
      <c r="R6" s="2">
        <f>((H6- 0.0166) / 0.0825)^(1/0.6529)</f>
        <v/>
      </c>
      <c r="S6" s="2">
        <f>((J6- 0.06053) / 0.0561)^(1/0.507)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2" t="n">
        <v>1</v>
      </c>
      <c r="B7" s="2" t="n">
        <v>260527</v>
      </c>
      <c r="C7" s="2" t="inlineStr">
        <is>
          <t>IC-2</t>
        </is>
      </c>
      <c r="D7" s="2" t="inlineStr">
        <is>
          <t>A016</t>
        </is>
      </c>
      <c r="E7" s="2" t="inlineStr">
        <is>
          <t>260527-05(IC-2)-A016.txt</t>
        </is>
      </c>
      <c r="F7" s="2" t="n">
        <v>2.614451124502394</v>
      </c>
      <c r="G7" s="2" t="n">
        <v>3.118363763917895</v>
      </c>
      <c r="H7" s="2" t="n">
        <v>3.299949602920807</v>
      </c>
      <c r="I7" s="2" t="n">
        <v>2.925923327748943</v>
      </c>
      <c r="J7" s="2" t="n">
        <v>2.299057956283507</v>
      </c>
      <c r="K7" s="2" t="n">
        <v>2.080621057090521</v>
      </c>
      <c r="L7" s="2" t="n">
        <v>1.847255816006553</v>
      </c>
      <c r="M7" s="2" t="n">
        <v>1.714648515353701</v>
      </c>
      <c r="N7" s="2" t="n"/>
      <c r="O7" s="2" t="n"/>
      <c r="P7" s="2" t="n"/>
      <c r="Q7" s="2">
        <f>((F7- 0.00793) / 0.1333)^(1/0.6199)</f>
        <v/>
      </c>
      <c r="R7" s="2">
        <f>((H7- 0.0166) / 0.0825)^(1/0.6529)</f>
        <v/>
      </c>
      <c r="S7" s="2">
        <f>((J7- 0.06053) / 0.0561)^(1/0.507)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2" t="n">
        <v>1</v>
      </c>
      <c r="B8" s="2" t="n">
        <v>260527</v>
      </c>
      <c r="C8" s="2" t="inlineStr">
        <is>
          <t>NAV</t>
        </is>
      </c>
      <c r="D8" s="2" t="inlineStr">
        <is>
          <t>A016</t>
        </is>
      </c>
      <c r="E8" s="2" t="inlineStr">
        <is>
          <t>260527-06(NAV)-A016.txt</t>
        </is>
      </c>
      <c r="F8" s="2" t="n">
        <v>4.517844594026386</v>
      </c>
      <c r="G8" s="2" t="n">
        <v>5.383042799023317</v>
      </c>
      <c r="H8" s="2" t="n">
        <v>5.519780412690126</v>
      </c>
      <c r="I8" s="2" t="n">
        <v>4.921644305433225</v>
      </c>
      <c r="J8" s="2" t="n">
        <v>4.158921884904054</v>
      </c>
      <c r="K8" s="2" t="n">
        <v>3.776597457723973</v>
      </c>
      <c r="L8" s="2" t="n">
        <v>3.464144405320743</v>
      </c>
      <c r="M8" s="2" t="n">
        <v>3.258055235653107</v>
      </c>
      <c r="N8" s="2" t="n"/>
      <c r="O8" s="2" t="n"/>
      <c r="P8" s="2" t="n"/>
      <c r="Q8" s="2">
        <f>((F8- 0.00793) / 0.1333)^(1/0.6199)</f>
        <v/>
      </c>
      <c r="R8" s="2">
        <f>((H8- 0.0166) / 0.0825)^(1/0.6529)</f>
        <v/>
      </c>
      <c r="S8" s="2">
        <f>((J8- 0.06053) / 0.0561)^(1/0.507)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2" t="n">
        <v>1</v>
      </c>
      <c r="B9" s="2" t="n">
        <v>260527</v>
      </c>
      <c r="C9" s="2" t="inlineStr">
        <is>
          <t>HB</t>
        </is>
      </c>
      <c r="D9" s="2" t="inlineStr">
        <is>
          <t>A016</t>
        </is>
      </c>
      <c r="E9" s="2" t="inlineStr">
        <is>
          <t>260527-07(HB)-A016.txt</t>
        </is>
      </c>
      <c r="F9" s="2" t="n">
        <v>2.953721515245203</v>
      </c>
      <c r="G9" s="2" t="n">
        <v>3.44289606439707</v>
      </c>
      <c r="H9" s="2" t="n">
        <v>3.380531929610219</v>
      </c>
      <c r="I9" s="2" t="n">
        <v>2.889064959534003</v>
      </c>
      <c r="J9" s="2" t="n">
        <v>1.998827694533998</v>
      </c>
      <c r="K9" s="2" t="n">
        <v>1.80016968434233</v>
      </c>
      <c r="L9" s="2" t="n">
        <v>1.468035105192647</v>
      </c>
      <c r="M9" s="2" t="n">
        <v>1.368628058419121</v>
      </c>
      <c r="N9" s="2" t="n"/>
      <c r="O9" s="2" t="n"/>
      <c r="P9" s="2" t="n"/>
      <c r="Q9" s="2">
        <f>((F9- 0.00793) / 0.1333)^(1/0.6199)</f>
        <v/>
      </c>
      <c r="R9" s="2">
        <f>((H9- 0.0166) / 0.0825)^(1/0.6529)</f>
        <v/>
      </c>
      <c r="S9" s="2">
        <f>((J9- 0.06053) / 0.0561)^(1/0.507)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2" t="n">
        <v>1</v>
      </c>
      <c r="B10" s="2" t="n">
        <v>260527</v>
      </c>
      <c r="C10" s="2" t="inlineStr">
        <is>
          <t>NCF6</t>
        </is>
      </c>
      <c r="D10" s="2" t="inlineStr">
        <is>
          <t>A016</t>
        </is>
      </c>
      <c r="E10" s="2" t="inlineStr">
        <is>
          <t>260527-08(NCF6)-A016.txt</t>
        </is>
      </c>
      <c r="F10" s="2" t="n">
        <v>3.969503479910349</v>
      </c>
      <c r="G10" s="2" t="n">
        <v>4.56083031692632</v>
      </c>
      <c r="H10" s="2" t="n">
        <v>5.057800678078476</v>
      </c>
      <c r="I10" s="2" t="n">
        <v>4.404550233381635</v>
      </c>
      <c r="J10" s="2" t="n">
        <v>3.695458523918211</v>
      </c>
      <c r="K10" s="2" t="n">
        <v>3.189769387211115</v>
      </c>
      <c r="L10" s="2" t="n">
        <v>2.678902807589489</v>
      </c>
      <c r="M10" s="2" t="n">
        <v>2.538334146140434</v>
      </c>
      <c r="N10" s="2" t="n"/>
      <c r="O10" s="2" t="n"/>
      <c r="P10" s="2" t="n"/>
      <c r="Q10" s="2">
        <f>((F10- 0.00793) / 0.1333)^(1/0.6199)</f>
        <v/>
      </c>
      <c r="R10" s="2">
        <f>((H10- 0.0166) / 0.0825)^(1/0.6529)</f>
        <v/>
      </c>
      <c r="S10" s="2">
        <f>((J10- 0.06053) / 0.0561)^(1/0.507)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2" t="n">
        <v>2</v>
      </c>
      <c r="B11" s="2" t="n">
        <v>260603</v>
      </c>
      <c r="C11" s="2" t="inlineStr">
        <is>
          <t>NCF6</t>
        </is>
      </c>
      <c r="D11" s="2" t="inlineStr">
        <is>
          <t>A016</t>
        </is>
      </c>
      <c r="E11" s="2" t="inlineStr">
        <is>
          <t>260603-01(NCF6)-A016.txt</t>
        </is>
      </c>
      <c r="F11" s="2" t="n">
        <v>1.868556769340109</v>
      </c>
      <c r="G11" s="2" t="n">
        <v>1.940777268399224</v>
      </c>
      <c r="H11" s="2" t="n">
        <v>2.278055226513443</v>
      </c>
      <c r="I11" s="2" t="n">
        <v>2.456376100969964</v>
      </c>
      <c r="J11" s="2" t="n">
        <v>2.113108242126245</v>
      </c>
      <c r="K11" s="2" t="n">
        <v>1.780104056103029</v>
      </c>
      <c r="L11" s="2" t="n">
        <v>1.619070904765296</v>
      </c>
      <c r="M11" s="2" t="n">
        <v>1.503257270077533</v>
      </c>
      <c r="N11" s="2" t="n">
        <v>11.7</v>
      </c>
      <c r="O11" s="2" t="n"/>
      <c r="P11" s="2" t="n"/>
      <c r="Q11" s="2">
        <f>((F11- 0.00793) / 0.1333)^(1/0.6199)</f>
        <v/>
      </c>
      <c r="R11" s="2">
        <f>((H11- 0.0166) / 0.0825)^(1/0.6529)</f>
        <v/>
      </c>
      <c r="S11" s="2">
        <f>((J11- 0.06053) / 0.0561)^(1/0.507)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2" t="n">
        <v>2</v>
      </c>
      <c r="B12" s="2" t="n">
        <v>260603</v>
      </c>
      <c r="C12" s="2" t="inlineStr">
        <is>
          <t>NC11</t>
        </is>
      </c>
      <c r="D12" s="2" t="inlineStr">
        <is>
          <t>A016</t>
        </is>
      </c>
      <c r="E12" s="2" t="inlineStr">
        <is>
          <t>260603-02(NC11)-A016.txt</t>
        </is>
      </c>
      <c r="F12" s="2" t="n">
        <v>1.379722043297088</v>
      </c>
      <c r="G12" s="2" t="n">
        <v>1.613894632999626</v>
      </c>
      <c r="H12" s="2" t="n">
        <v>1.87679680985244</v>
      </c>
      <c r="I12" s="2" t="n">
        <v>1.717010027730383</v>
      </c>
      <c r="J12" s="2" t="n">
        <v>1.398922768786139</v>
      </c>
      <c r="K12" s="2" t="n">
        <v>1.275414050316234</v>
      </c>
      <c r="L12" s="2" t="n">
        <v>1.262101717463171</v>
      </c>
      <c r="M12" s="2" t="n">
        <v>1.287099401985975</v>
      </c>
      <c r="N12" s="2" t="n">
        <v>4.2</v>
      </c>
      <c r="O12" s="2" t="n"/>
      <c r="P12" s="2" t="n"/>
      <c r="Q12" s="2">
        <f>((F12- 0.00793) / 0.1333)^(1/0.6199)</f>
        <v/>
      </c>
      <c r="R12" s="2">
        <f>((H12- 0.0166) / 0.0825)^(1/0.6529)</f>
        <v/>
      </c>
      <c r="S12" s="2">
        <f>((J12- 0.06053) / 0.0561)^(1/0.507)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2" t="n">
        <v>2</v>
      </c>
      <c r="B13" s="2" t="n">
        <v>260603</v>
      </c>
      <c r="C13" s="2" t="inlineStr">
        <is>
          <t>ACME</t>
        </is>
      </c>
      <c r="D13" s="2" t="inlineStr">
        <is>
          <t>A016</t>
        </is>
      </c>
      <c r="E13" s="2" t="inlineStr">
        <is>
          <t>260603-03(ACME)-A016.txt</t>
        </is>
      </c>
      <c r="F13" s="2" t="n">
        <v>1.535391965886184</v>
      </c>
      <c r="G13" s="2" t="n">
        <v>1.697302489891575</v>
      </c>
      <c r="H13" s="2" t="n">
        <v>1.952681244252569</v>
      </c>
      <c r="I13" s="2" t="n">
        <v>1.939839816597747</v>
      </c>
      <c r="J13" s="2" t="n">
        <v>1.657734191458813</v>
      </c>
      <c r="K13" s="2" t="n">
        <v>1.527681336970576</v>
      </c>
      <c r="L13" s="2" t="n">
        <v>1.450557626891089</v>
      </c>
      <c r="M13" s="2" t="n">
        <v>1.402270818668073</v>
      </c>
      <c r="N13" s="2" t="n">
        <v>3.4</v>
      </c>
      <c r="O13" s="2" t="n"/>
      <c r="P13" s="2" t="n"/>
      <c r="Q13" s="2">
        <f>((F13- 0.00793) / 0.1333)^(1/0.6199)</f>
        <v/>
      </c>
      <c r="R13" s="2">
        <f>((H13- 0.0166) / 0.0825)^(1/0.6529)</f>
        <v/>
      </c>
      <c r="S13" s="2">
        <f>((J13- 0.06053) / 0.0561)^(1/0.507)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2" t="n">
        <v>2</v>
      </c>
      <c r="B14" s="2" t="n">
        <v>260603</v>
      </c>
      <c r="C14" s="2" t="inlineStr">
        <is>
          <t>DP</t>
        </is>
      </c>
      <c r="D14" s="2" t="inlineStr">
        <is>
          <t>A016</t>
        </is>
      </c>
      <c r="E14" s="2" t="inlineStr">
        <is>
          <t>260603-04(DP)-A016.txt</t>
        </is>
      </c>
      <c r="F14" s="2" t="n">
        <v>1.634557435992865</v>
      </c>
      <c r="G14" s="2" t="n">
        <v>1.787400721521996</v>
      </c>
      <c r="H14" s="2" t="n">
        <v>2.036075833467641</v>
      </c>
      <c r="I14" s="2" t="n">
        <v>2.15174447260937</v>
      </c>
      <c r="J14" s="2" t="n">
        <v>1.793504272124666</v>
      </c>
      <c r="K14" s="2" t="n">
        <v>1.58956822250264</v>
      </c>
      <c r="L14" s="2" t="n">
        <v>1.379463773694908</v>
      </c>
      <c r="M14" s="2" t="n">
        <v>1.286364825517469</v>
      </c>
      <c r="N14" s="2" t="n">
        <v>2.4</v>
      </c>
      <c r="O14" s="2" t="n"/>
      <c r="P14" s="2" t="n"/>
      <c r="Q14" s="2">
        <f>((F14- 0.00793) / 0.1333)^(1/0.6199)</f>
        <v/>
      </c>
      <c r="R14" s="2">
        <f>((H14- 0.0166) / 0.0825)^(1/0.6529)</f>
        <v/>
      </c>
      <c r="S14" s="2">
        <f>((J14- 0.06053) / 0.0561)^(1/0.507)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2" t="n">
        <v>2</v>
      </c>
      <c r="B15" s="2" t="n">
        <v>260603</v>
      </c>
      <c r="C15" s="2" t="inlineStr">
        <is>
          <t>BBT</t>
        </is>
      </c>
      <c r="D15" s="2" t="inlineStr">
        <is>
          <t>A016</t>
        </is>
      </c>
      <c r="E15" s="2" t="inlineStr">
        <is>
          <t>260603-05(BBT)-A016.txt</t>
        </is>
      </c>
      <c r="F15" s="2" t="n">
        <v>0.7957280508080568</v>
      </c>
      <c r="G15" s="2" t="n">
        <v>0.9188910237324892</v>
      </c>
      <c r="H15" s="2" t="n">
        <v>1.316870297095773</v>
      </c>
      <c r="I15" s="2" t="n">
        <v>1.431704975888579</v>
      </c>
      <c r="J15" s="2" t="n">
        <v>0.938803846262384</v>
      </c>
      <c r="K15" s="2" t="n">
        <v>0.6952675049143469</v>
      </c>
      <c r="L15" s="2" t="n">
        <v>0.4715128663582032</v>
      </c>
      <c r="M15" s="2" t="n">
        <v>0.3427238462773808</v>
      </c>
      <c r="N15" s="2" t="n">
        <v>3.600000000000001</v>
      </c>
      <c r="O15" s="2" t="n"/>
      <c r="P15" s="2" t="n"/>
      <c r="Q15" s="2">
        <f>((F15- 0.00793) / 0.1333)^(1/0.6199)</f>
        <v/>
      </c>
      <c r="R15" s="2">
        <f>((H15- 0.0166) / 0.0825)^(1/0.6529)</f>
        <v/>
      </c>
      <c r="S15" s="2">
        <f>((J15- 0.06053) / 0.0561)^(1/0.507)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2" t="n">
        <v>2</v>
      </c>
      <c r="B16" s="2" t="n">
        <v>260603</v>
      </c>
      <c r="C16" s="2" t="inlineStr">
        <is>
          <t>IC</t>
        </is>
      </c>
      <c r="D16" s="2" t="inlineStr">
        <is>
          <t>A016</t>
        </is>
      </c>
      <c r="E16" s="2" t="inlineStr">
        <is>
          <t>260603-06(IC)-A016.txt</t>
        </is>
      </c>
      <c r="F16" s="2" t="n">
        <v>1.959723972244185</v>
      </c>
      <c r="G16" s="2" t="n">
        <v>2.060081265330994</v>
      </c>
      <c r="H16" s="2" t="n">
        <v>2.273898585311708</v>
      </c>
      <c r="I16" s="2" t="n">
        <v>2.472415025978756</v>
      </c>
      <c r="J16" s="2" t="n">
        <v>2.185654276008603</v>
      </c>
      <c r="K16" s="2" t="n">
        <v>1.983936079631232</v>
      </c>
      <c r="L16" s="2" t="n">
        <v>1.812080188014412</v>
      </c>
      <c r="M16" s="2" t="n">
        <v>1.705896045159816</v>
      </c>
      <c r="N16" s="2" t="n">
        <v>2.8</v>
      </c>
      <c r="O16" s="2" t="n"/>
      <c r="P16" s="2" t="n"/>
      <c r="Q16" s="2">
        <f>((F16- 0.00793) / 0.1333)^(1/0.6199)</f>
        <v/>
      </c>
      <c r="R16" s="2">
        <f>((H16- 0.0166) / 0.0825)^(1/0.6529)</f>
        <v/>
      </c>
      <c r="S16" s="2">
        <f>((J16- 0.06053) / 0.0561)^(1/0.507)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2" t="n">
        <v>3</v>
      </c>
      <c r="B17" s="2" t="n">
        <v>260610</v>
      </c>
      <c r="C17" s="2" t="inlineStr">
        <is>
          <t>M18</t>
        </is>
      </c>
      <c r="D17" s="2" t="inlineStr">
        <is>
          <t>A016</t>
        </is>
      </c>
      <c r="E17" s="2" t="inlineStr">
        <is>
          <t>260610-01(M18)-A016.txt</t>
        </is>
      </c>
      <c r="F17" s="2" t="n">
        <v>1.091323797966119</v>
      </c>
      <c r="G17" s="2" t="n">
        <v>1.28631189477073</v>
      </c>
      <c r="H17" s="2" t="n">
        <v>1.143515409256914</v>
      </c>
      <c r="I17" s="2" t="n">
        <v>0.9690026261321629</v>
      </c>
      <c r="J17" s="2" t="n">
        <v>0.7753600101949805</v>
      </c>
      <c r="K17" s="2" t="n">
        <v>0.764007770398462</v>
      </c>
      <c r="L17" s="2" t="n">
        <v>0.8500426824102029</v>
      </c>
      <c r="M17" s="2" t="n">
        <v>0.9454204697670751</v>
      </c>
      <c r="N17" s="2" t="n">
        <v>7</v>
      </c>
      <c r="O17" s="2" t="n"/>
      <c r="P17" s="2" t="n"/>
      <c r="Q17" s="2">
        <f>((F17- 0.00793) / 0.1333)^(1/0.6199)</f>
        <v/>
      </c>
      <c r="R17" s="2">
        <f>((H17- 0.0166) / 0.0825)^(1/0.6529)</f>
        <v/>
      </c>
      <c r="S17" s="2">
        <f>((J17- 0.06053) / 0.0561)^(1/0.507)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2" t="n">
        <v>3</v>
      </c>
      <c r="B18" s="2" t="n">
        <v>260610</v>
      </c>
      <c r="C18" s="2" t="inlineStr">
        <is>
          <t>M23</t>
        </is>
      </c>
      <c r="D18" s="2" t="inlineStr">
        <is>
          <t>A016</t>
        </is>
      </c>
      <c r="E18" s="2" t="inlineStr">
        <is>
          <t>260610-02(M23)-A016.txt</t>
        </is>
      </c>
      <c r="F18" s="2" t="n">
        <v>1.188089806446873</v>
      </c>
      <c r="G18" s="2" t="n">
        <v>1.391946550762684</v>
      </c>
      <c r="H18" s="2" t="n">
        <v>1.320916983113031</v>
      </c>
      <c r="I18" s="2" t="n">
        <v>1.135548021985687</v>
      </c>
      <c r="J18" s="2" t="n">
        <v>0.9422490863722844</v>
      </c>
      <c r="K18" s="2" t="n">
        <v>0.9127893704127436</v>
      </c>
      <c r="L18" s="2" t="n">
        <v>0.9789638910686228</v>
      </c>
      <c r="M18" s="2" t="n">
        <v>1.091539284532702</v>
      </c>
      <c r="N18" s="2" t="n">
        <v>8.600000000000001</v>
      </c>
      <c r="O18" s="2" t="n"/>
      <c r="P18" s="2" t="n"/>
      <c r="Q18" s="2">
        <f>((F18- 0.00793) / 0.1333)^(1/0.6199)</f>
        <v/>
      </c>
      <c r="R18" s="2">
        <f>((H18- 0.0166) / 0.0825)^(1/0.6529)</f>
        <v/>
      </c>
      <c r="S18" s="2">
        <f>((J18- 0.06053) / 0.0561)^(1/0.507)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2" t="n">
        <v>3</v>
      </c>
      <c r="B19" s="2" t="n">
        <v>260610</v>
      </c>
      <c r="C19" s="2" t="inlineStr">
        <is>
          <t>M35</t>
        </is>
      </c>
      <c r="D19" s="2" t="inlineStr">
        <is>
          <t>A016</t>
        </is>
      </c>
      <c r="E19" s="2" t="inlineStr">
        <is>
          <t>260610-03(M35)-A016.txt</t>
        </is>
      </c>
      <c r="F19" s="2" t="n">
        <v>1.475365277440571</v>
      </c>
      <c r="G19" s="2" t="n">
        <v>1.632534050269041</v>
      </c>
      <c r="H19" s="2" t="n">
        <v>1.759444732053335</v>
      </c>
      <c r="I19" s="2" t="n">
        <v>1.666456832751292</v>
      </c>
      <c r="J19" s="2" t="n">
        <v>1.384016081433503</v>
      </c>
      <c r="K19" s="2" t="n">
        <v>1.280722948590467</v>
      </c>
      <c r="L19" s="2" t="n">
        <v>1.289893816947743</v>
      </c>
      <c r="M19" s="2" t="n">
        <v>1.391547203998288</v>
      </c>
      <c r="N19" s="2" t="n">
        <v>15.7</v>
      </c>
      <c r="O19" s="2" t="n"/>
      <c r="P19" s="2" t="n"/>
      <c r="Q19" s="2">
        <f>((F19- 0.00793) / 0.1333)^(1/0.6199)</f>
        <v/>
      </c>
      <c r="R19" s="2">
        <f>((H19- 0.0166) / 0.0825)^(1/0.6529)</f>
        <v/>
      </c>
      <c r="S19" s="2">
        <f>((J19- 0.06053) / 0.0561)^(1/0.507)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2" t="n">
        <v>3</v>
      </c>
      <c r="B20" s="2" t="n">
        <v>260610</v>
      </c>
      <c r="C20" s="2" t="inlineStr">
        <is>
          <t>M54</t>
        </is>
      </c>
      <c r="D20" s="2" t="inlineStr">
        <is>
          <t>A016</t>
        </is>
      </c>
      <c r="E20" s="2" t="inlineStr">
        <is>
          <t>260610-04(M54)-A016.txt</t>
        </is>
      </c>
      <c r="F20" s="2" t="n">
        <v>2.073282743140309</v>
      </c>
      <c r="G20" s="2" t="n">
        <v>2.531169196457252</v>
      </c>
      <c r="H20" s="2" t="n">
        <v>2.774615780838951</v>
      </c>
      <c r="I20" s="2" t="n">
        <v>2.477474385305131</v>
      </c>
      <c r="J20" s="2" t="n">
        <v>2.039485626283866</v>
      </c>
      <c r="K20" s="2" t="n">
        <v>1.879963160887099</v>
      </c>
      <c r="L20" s="2" t="n">
        <v>1.86886907215963</v>
      </c>
      <c r="M20" s="2" t="n">
        <v>2.018221793851513</v>
      </c>
      <c r="N20" s="2" t="n">
        <v>15.6</v>
      </c>
      <c r="O20" s="2" t="n"/>
      <c r="P20" s="2" t="n"/>
      <c r="Q20" s="2">
        <f>((F20- 0.00793) / 0.1333)^(1/0.6199)</f>
        <v/>
      </c>
      <c r="R20" s="2">
        <f>((H20- 0.0166) / 0.0825)^(1/0.6529)</f>
        <v/>
      </c>
      <c r="S20" s="2">
        <f>((J20- 0.06053) / 0.0561)^(1/0.507)</f>
        <v/>
      </c>
      <c r="T20" s="2" t="n"/>
      <c r="U20" s="2" t="n"/>
      <c r="V20" s="2" t="n"/>
      <c r="W20" s="2" t="n"/>
      <c r="X20" s="2" t="n"/>
      <c r="Y20" s="2" t="n"/>
      <c r="Z20" s="2" t="n"/>
    </row>
    <row r="21">
      <c r="A21" s="2" t="n">
        <v>3</v>
      </c>
      <c r="B21" s="2" t="n">
        <v>260610</v>
      </c>
      <c r="C21" s="2" t="inlineStr">
        <is>
          <t>BRR</t>
        </is>
      </c>
      <c r="D21" s="2" t="inlineStr">
        <is>
          <t>A016</t>
        </is>
      </c>
      <c r="E21" s="2" t="inlineStr">
        <is>
          <t>260610-05(BRR)-A016.txt</t>
        </is>
      </c>
      <c r="F21" s="2" t="n">
        <v>1.668669938289539</v>
      </c>
      <c r="G21" s="2" t="n">
        <v>1.814681911672121</v>
      </c>
      <c r="H21" s="2" t="n">
        <v>2.102659708272691</v>
      </c>
      <c r="I21" s="2" t="n">
        <v>2.099054761266487</v>
      </c>
      <c r="J21" s="2" t="n">
        <v>1.786938733789293</v>
      </c>
      <c r="K21" s="2" t="n">
        <v>1.634827797264131</v>
      </c>
      <c r="L21" s="2" t="n">
        <v>1.559409659732865</v>
      </c>
      <c r="M21" s="2" t="n">
        <v>1.580538449087723</v>
      </c>
      <c r="N21" s="2" t="n">
        <v>9.100000000000001</v>
      </c>
      <c r="O21" s="2" t="n"/>
      <c r="P21" s="2" t="n"/>
      <c r="Q21" s="2">
        <f>((F21- 0.00793) / 0.1333)^(1/0.6199)</f>
        <v/>
      </c>
      <c r="R21" s="2">
        <f>((H21- 0.0166) / 0.0825)^(1/0.6529)</f>
        <v/>
      </c>
      <c r="S21" s="2">
        <f>((J21- 0.06053) / 0.0561)^(1/0.507)</f>
        <v/>
      </c>
      <c r="T21" s="2" t="n"/>
      <c r="U21" s="2" t="n"/>
      <c r="V21" s="2" t="n"/>
      <c r="W21" s="2" t="n"/>
      <c r="X21" s="2" t="n"/>
      <c r="Y21" s="2" t="n"/>
      <c r="Z21" s="2" t="n"/>
    </row>
    <row r="22">
      <c r="A22" s="2" t="n">
        <v>3</v>
      </c>
      <c r="B22" s="2" t="n">
        <v>260610</v>
      </c>
      <c r="C22" s="2" t="inlineStr">
        <is>
          <t>NAV</t>
        </is>
      </c>
      <c r="D22" s="2" t="inlineStr">
        <is>
          <t>A016</t>
        </is>
      </c>
      <c r="E22" s="2" t="inlineStr">
        <is>
          <t>260610-06(NAV)-A016.txt</t>
        </is>
      </c>
      <c r="F22" s="2" t="n">
        <v>2.22045356616296</v>
      </c>
      <c r="G22" s="2" t="n">
        <v>2.391442780028158</v>
      </c>
      <c r="H22" s="2" t="n">
        <v>2.594583614796593</v>
      </c>
      <c r="I22" s="2" t="n">
        <v>2.666349392966582</v>
      </c>
      <c r="J22" s="2" t="n">
        <v>2.313688875534667</v>
      </c>
      <c r="K22" s="2" t="n">
        <v>2.083206648220262</v>
      </c>
      <c r="L22" s="2" t="n">
        <v>1.915600446280409</v>
      </c>
      <c r="M22" s="2" t="n">
        <v>1.868298860569152</v>
      </c>
      <c r="N22" s="2" t="n">
        <v>15</v>
      </c>
      <c r="O22" s="2" t="n"/>
      <c r="P22" s="2" t="n"/>
      <c r="Q22" s="2">
        <f>((F22- 0.00793) / 0.1333)^(1/0.6199)</f>
        <v/>
      </c>
      <c r="R22" s="2">
        <f>((H22- 0.0166) / 0.0825)^(1/0.6529)</f>
        <v/>
      </c>
      <c r="S22" s="2">
        <f>((J22- 0.06053) / 0.0561)^(1/0.507)</f>
        <v/>
      </c>
      <c r="T22" s="2" t="n"/>
      <c r="U22" s="2" t="n"/>
      <c r="V22" s="2" t="n"/>
      <c r="W22" s="2" t="n"/>
      <c r="X22" s="2" t="n"/>
      <c r="Y22" s="2" t="n"/>
      <c r="Z22" s="2" t="n"/>
    </row>
    <row r="23">
      <c r="A23" s="2" t="n">
        <v>3</v>
      </c>
      <c r="B23" s="2" t="n">
        <v>260610</v>
      </c>
      <c r="C23" s="2" t="inlineStr">
        <is>
          <t>HB</t>
        </is>
      </c>
      <c r="D23" s="2" t="inlineStr">
        <is>
          <t>A016</t>
        </is>
      </c>
      <c r="E23" s="2" t="inlineStr">
        <is>
          <t>260610-07(HB)-A016.txt</t>
        </is>
      </c>
      <c r="F23" s="2" t="n">
        <v>1.637110319813195</v>
      </c>
      <c r="G23" s="2" t="n">
        <v>1.80305615607947</v>
      </c>
      <c r="H23" s="2" t="n">
        <v>1.998165722247814</v>
      </c>
      <c r="I23" s="2" t="n">
        <v>2.022454654066078</v>
      </c>
      <c r="J23" s="2" t="n">
        <v>1.6984488842443</v>
      </c>
      <c r="K23" s="2" t="n">
        <v>1.520985400367803</v>
      </c>
      <c r="L23" s="2" t="n">
        <v>1.432711905421182</v>
      </c>
      <c r="M23" s="2" t="n">
        <v>1.434079177641947</v>
      </c>
      <c r="N23" s="2" t="n">
        <v>13.3</v>
      </c>
      <c r="O23" s="2" t="n"/>
      <c r="P23" s="2" t="n"/>
      <c r="Q23" s="2">
        <f>((F23- 0.00793) / 0.1333)^(1/0.6199)</f>
        <v/>
      </c>
      <c r="R23" s="2">
        <f>((H23- 0.0166) / 0.0825)^(1/0.6529)</f>
        <v/>
      </c>
      <c r="S23" s="2">
        <f>((J23- 0.06053) / 0.0561)^(1/0.507)</f>
        <v/>
      </c>
      <c r="T23" s="2" t="n"/>
      <c r="U23" s="2" t="n"/>
      <c r="V23" s="2" t="n"/>
      <c r="W23" s="2" t="n"/>
      <c r="X23" s="2" t="n"/>
      <c r="Y23" s="2" t="n"/>
      <c r="Z23" s="2" t="n"/>
    </row>
    <row r="24">
      <c r="A24" s="2" t="n">
        <v>4</v>
      </c>
      <c r="B24" s="2" t="n">
        <v>260618</v>
      </c>
      <c r="C24" s="2" t="inlineStr">
        <is>
          <t>NC11-1</t>
        </is>
      </c>
      <c r="D24" s="2" t="inlineStr">
        <is>
          <t>A016</t>
        </is>
      </c>
      <c r="E24" s="2" t="inlineStr">
        <is>
          <t>260618-01(NC11-1)-A016.txt</t>
        </is>
      </c>
      <c r="F24" s="2" t="n">
        <v>2.107612859502735</v>
      </c>
      <c r="G24" s="2" t="n">
        <v>2.394686951964856</v>
      </c>
      <c r="H24" s="2" t="n">
        <v>2.576908791028379</v>
      </c>
      <c r="I24" s="2" t="n">
        <v>2.418956063666342</v>
      </c>
      <c r="J24" s="2" t="n">
        <v>2.010729759893693</v>
      </c>
      <c r="K24" s="2" t="n">
        <v>1.777908156120559</v>
      </c>
      <c r="L24" s="2" t="n">
        <v>1.713505164657618</v>
      </c>
      <c r="M24" s="2" t="n">
        <v>1.754218239241946</v>
      </c>
      <c r="N24" s="2" t="n"/>
      <c r="O24" s="2" t="n"/>
      <c r="P24" s="2" t="n"/>
      <c r="Q24" s="2">
        <f>((F24- 0.00793) / 0.1333)^(1/0.6199)</f>
        <v/>
      </c>
      <c r="R24" s="2">
        <f>((H24- 0.0166) / 0.0825)^(1/0.6529)</f>
        <v/>
      </c>
      <c r="S24" s="2">
        <f>((J24- 0.06053) / 0.0561)^(1/0.507)</f>
        <v/>
      </c>
      <c r="T24" s="2" t="n"/>
      <c r="U24" s="2" t="n"/>
      <c r="V24" s="2" t="n"/>
      <c r="W24" s="2" t="n"/>
      <c r="X24" s="2" t="n"/>
      <c r="Y24" s="2" t="n"/>
      <c r="Z24" s="2" t="n"/>
    </row>
    <row r="25">
      <c r="A25" s="2" t="n">
        <v>4</v>
      </c>
      <c r="B25" s="2" t="n">
        <v>260618</v>
      </c>
      <c r="C25" s="2" t="inlineStr">
        <is>
          <t>NC11-2</t>
        </is>
      </c>
      <c r="D25" s="2" t="inlineStr">
        <is>
          <t>A017</t>
        </is>
      </c>
      <c r="E25" s="2" t="inlineStr">
        <is>
          <t>260618-01(NC11-2)-A017.txt</t>
        </is>
      </c>
      <c r="F25" s="2" t="n">
        <v>1.362376983120105</v>
      </c>
      <c r="G25" s="2" t="n">
        <v>1.530621129577649</v>
      </c>
      <c r="H25" s="2" t="n">
        <v>1.845481610199759</v>
      </c>
      <c r="I25" s="2" t="n">
        <v>1.892301969905739</v>
      </c>
      <c r="J25" s="2" t="n">
        <v>1.404260679590056</v>
      </c>
      <c r="K25" s="2" t="n">
        <v>1.193901048799044</v>
      </c>
      <c r="L25" s="2" t="n">
        <v>1.086144862972832</v>
      </c>
      <c r="M25" s="2" t="n">
        <v>1.111740216411874</v>
      </c>
      <c r="N25" s="2" t="n"/>
      <c r="O25" s="2" t="n"/>
      <c r="P25" s="2" t="n"/>
      <c r="Q25" s="2">
        <f>((F25- 0.00793) / 0.1333)^(1/0.6199)</f>
        <v/>
      </c>
      <c r="R25" s="2">
        <f>((H25- 0.0166) / 0.0825)^(1/0.6529)</f>
        <v/>
      </c>
      <c r="S25" s="2">
        <f>((J25- 0.06053) / 0.0561)^(1/0.507)</f>
        <v/>
      </c>
      <c r="T25" s="2" t="n"/>
      <c r="U25" s="2" t="n"/>
      <c r="V25" s="2" t="n"/>
      <c r="W25" s="2" t="n"/>
      <c r="X25" s="2" t="n"/>
      <c r="Y25" s="2" t="n"/>
      <c r="Z25" s="2" t="n"/>
    </row>
    <row r="26">
      <c r="A26" s="2" t="n">
        <v>4</v>
      </c>
      <c r="B26" s="2" t="n">
        <v>260618</v>
      </c>
      <c r="C26" s="2" t="inlineStr">
        <is>
          <t>ACME-1</t>
        </is>
      </c>
      <c r="D26" s="2" t="inlineStr">
        <is>
          <t>A016</t>
        </is>
      </c>
      <c r="E26" s="2" t="inlineStr">
        <is>
          <t>260618-02(ACME-1)-A016.txt</t>
        </is>
      </c>
      <c r="F26" s="2" t="n">
        <v>0.9886869944334356</v>
      </c>
      <c r="G26" s="2" t="n">
        <v>1.121116875988532</v>
      </c>
      <c r="H26" s="2" t="n">
        <v>1.322763361157123</v>
      </c>
      <c r="I26" s="2" t="n">
        <v>1.348276450941327</v>
      </c>
      <c r="J26" s="2" t="n">
        <v>1.016647238402189</v>
      </c>
      <c r="K26" s="2" t="n">
        <v>0.8497004951507728</v>
      </c>
      <c r="L26" s="2" t="n">
        <v>0.7533738052342619</v>
      </c>
      <c r="M26" s="2" t="n">
        <v>0.7638045908580101</v>
      </c>
      <c r="N26" s="2" t="n"/>
      <c r="O26" s="2" t="n"/>
      <c r="P26" s="2" t="n"/>
      <c r="Q26" s="2">
        <f>((F26- 0.00793) / 0.1333)^(1/0.6199)</f>
        <v/>
      </c>
      <c r="R26" s="2">
        <f>((H26- 0.0166) / 0.0825)^(1/0.6529)</f>
        <v/>
      </c>
      <c r="S26" s="2">
        <f>((J26- 0.06053) / 0.0561)^(1/0.507)</f>
        <v/>
      </c>
      <c r="T26" s="2" t="n"/>
      <c r="U26" s="2" t="n"/>
      <c r="V26" s="2" t="n"/>
      <c r="W26" s="2" t="n"/>
      <c r="X26" s="2" t="n"/>
      <c r="Y26" s="2" t="n"/>
      <c r="Z26" s="2" t="n"/>
    </row>
    <row r="27">
      <c r="A27" s="2" t="n">
        <v>4</v>
      </c>
      <c r="B27" s="2" t="n">
        <v>260618</v>
      </c>
      <c r="C27" s="2" t="inlineStr">
        <is>
          <t>ACME-2</t>
        </is>
      </c>
      <c r="D27" s="2" t="inlineStr">
        <is>
          <t>A017</t>
        </is>
      </c>
      <c r="E27" s="2" t="inlineStr">
        <is>
          <t>260618-02(ACME-2)-A017.txt</t>
        </is>
      </c>
      <c r="F27" s="2" t="n">
        <v>1.68455697628594</v>
      </c>
      <c r="G27" s="2" t="n">
        <v>1.796801640725674</v>
      </c>
      <c r="H27" s="2" t="n">
        <v>2.038718645570352</v>
      </c>
      <c r="I27" s="2" t="n">
        <v>1.863912491778237</v>
      </c>
      <c r="J27" s="2" t="n">
        <v>1.311144350986094</v>
      </c>
      <c r="K27" s="2" t="n">
        <v>1.279115365588312</v>
      </c>
      <c r="L27" s="2" t="n">
        <v>1.134489025267273</v>
      </c>
      <c r="M27" s="2" t="n">
        <v>1.153755847940771</v>
      </c>
      <c r="N27" s="2" t="n"/>
      <c r="O27" s="2" t="n"/>
      <c r="P27" s="2" t="n"/>
      <c r="Q27" s="2">
        <f>((F27- 0.00793) / 0.1333)^(1/0.6199)</f>
        <v/>
      </c>
      <c r="R27" s="2">
        <f>((H27- 0.0166) / 0.0825)^(1/0.6529)</f>
        <v/>
      </c>
      <c r="S27" s="2">
        <f>((J27- 0.06053) / 0.0561)^(1/0.507)</f>
        <v/>
      </c>
      <c r="T27" s="2" t="n"/>
      <c r="U27" s="2" t="n"/>
      <c r="V27" s="2" t="n"/>
      <c r="W27" s="2" t="n"/>
      <c r="X27" s="2" t="n"/>
      <c r="Y27" s="2" t="n"/>
      <c r="Z27" s="2" t="n"/>
    </row>
    <row r="28">
      <c r="A28" s="2" t="n">
        <v>4</v>
      </c>
      <c r="B28" s="2" t="n">
        <v>260618</v>
      </c>
      <c r="C28" s="2" t="inlineStr">
        <is>
          <t>DP-1</t>
        </is>
      </c>
      <c r="D28" s="2" t="inlineStr">
        <is>
          <t>A016</t>
        </is>
      </c>
      <c r="E28" s="2" t="inlineStr">
        <is>
          <t>260618-03(DP-1)-A016.txt</t>
        </is>
      </c>
      <c r="F28" s="2" t="n">
        <v>2.545530265476193</v>
      </c>
      <c r="G28" s="2" t="n">
        <v>2.84255646152032</v>
      </c>
      <c r="H28" s="2" t="n">
        <v>3.089616725567181</v>
      </c>
      <c r="I28" s="2" t="n">
        <v>3.032666029204198</v>
      </c>
      <c r="J28" s="2" t="n">
        <v>2.556684086396331</v>
      </c>
      <c r="K28" s="2" t="n">
        <v>2.264913059482555</v>
      </c>
      <c r="L28" s="2" t="n">
        <v>2.012246512892585</v>
      </c>
      <c r="M28" s="2" t="n">
        <v>1.862609887373798</v>
      </c>
      <c r="N28" s="2" t="n"/>
      <c r="O28" s="2" t="n"/>
      <c r="P28" s="2" t="n"/>
      <c r="Q28" s="2">
        <f>((F28- 0.00793) / 0.1333)^(1/0.6199)</f>
        <v/>
      </c>
      <c r="R28" s="2">
        <f>((H28- 0.0166) / 0.0825)^(1/0.6529)</f>
        <v/>
      </c>
      <c r="S28" s="2">
        <f>((J28- 0.06053) / 0.0561)^(1/0.507)</f>
        <v/>
      </c>
      <c r="T28" s="2" t="n"/>
      <c r="U28" s="2" t="n"/>
      <c r="V28" s="2" t="n"/>
      <c r="W28" s="2" t="n"/>
      <c r="X28" s="2" t="n"/>
      <c r="Y28" s="2" t="n"/>
      <c r="Z28" s="2" t="n"/>
    </row>
    <row r="29">
      <c r="A29" s="2" t="n">
        <v>4</v>
      </c>
      <c r="B29" s="2" t="n">
        <v>260618</v>
      </c>
      <c r="C29" s="2" t="inlineStr">
        <is>
          <t>DP-2</t>
        </is>
      </c>
      <c r="D29" s="2" t="inlineStr">
        <is>
          <t>A017</t>
        </is>
      </c>
      <c r="E29" s="2" t="inlineStr">
        <is>
          <t>260618-03(DP-2)-A017.txt</t>
        </is>
      </c>
      <c r="F29" s="2" t="n">
        <v>3.247993017318077</v>
      </c>
      <c r="G29" s="2" t="n">
        <v>3.372392415763021</v>
      </c>
      <c r="H29" s="2" t="n">
        <v>3.831618743736407</v>
      </c>
      <c r="I29" s="2" t="n">
        <v>3.940740976928693</v>
      </c>
      <c r="J29" s="2" t="n">
        <v>3.504626872186759</v>
      </c>
      <c r="K29" s="2" t="n">
        <v>3.234469786515643</v>
      </c>
      <c r="L29" s="2" t="n">
        <v>3.020473116484128</v>
      </c>
      <c r="M29" s="2" t="n">
        <v>2.909481560467669</v>
      </c>
      <c r="N29" s="2" t="n"/>
      <c r="O29" s="2" t="n"/>
      <c r="P29" s="2" t="n"/>
      <c r="Q29" s="2">
        <f>((F29- 0.00793) / 0.1333)^(1/0.6199)</f>
        <v/>
      </c>
      <c r="R29" s="2">
        <f>((H29- 0.0166) / 0.0825)^(1/0.6529)</f>
        <v/>
      </c>
      <c r="S29" s="2">
        <f>((J29- 0.06053) / 0.0561)^(1/0.507)</f>
        <v/>
      </c>
      <c r="T29" s="2" t="n"/>
      <c r="U29" s="2" t="n"/>
      <c r="V29" s="2" t="n"/>
      <c r="W29" s="2" t="n"/>
      <c r="X29" s="2" t="n"/>
      <c r="Y29" s="2" t="n"/>
      <c r="Z29" s="2" t="n"/>
    </row>
    <row r="30">
      <c r="A30" s="2" t="n">
        <v>4</v>
      </c>
      <c r="B30" s="2" t="n">
        <v>260618</v>
      </c>
      <c r="C30" s="2" t="inlineStr">
        <is>
          <t>BBT-1</t>
        </is>
      </c>
      <c r="D30" s="2" t="inlineStr">
        <is>
          <t>A016</t>
        </is>
      </c>
      <c r="E30" s="2" t="inlineStr">
        <is>
          <t>260618-04(BBT-1)-A016.txt</t>
        </is>
      </c>
      <c r="F30" s="2" t="n">
        <v>2.583988107597087</v>
      </c>
      <c r="G30" s="2" t="n">
        <v>2.619014601395931</v>
      </c>
      <c r="H30" s="2" t="n">
        <v>2.821806433965649</v>
      </c>
      <c r="I30" s="2" t="n">
        <v>3.130301504459725</v>
      </c>
      <c r="J30" s="2" t="n">
        <v>2.982852263356482</v>
      </c>
      <c r="K30" s="2" t="n">
        <v>2.751436280885896</v>
      </c>
      <c r="L30" s="2" t="n">
        <v>2.518337148069872</v>
      </c>
      <c r="M30" s="2" t="n">
        <v>2.364916865185141</v>
      </c>
      <c r="N30" s="2" t="n"/>
      <c r="O30" s="2" t="n"/>
      <c r="P30" s="2" t="n"/>
      <c r="Q30" s="2">
        <f>((F30- 0.00793) / 0.1333)^(1/0.6199)</f>
        <v/>
      </c>
      <c r="R30" s="2">
        <f>((H30- 0.0166) / 0.0825)^(1/0.6529)</f>
        <v/>
      </c>
      <c r="S30" s="2">
        <f>((J30- 0.06053) / 0.0561)^(1/0.507)</f>
        <v/>
      </c>
      <c r="T30" s="2" t="n"/>
      <c r="U30" s="2" t="n"/>
      <c r="V30" s="2" t="n"/>
      <c r="W30" s="2" t="n"/>
      <c r="X30" s="2" t="n"/>
      <c r="Y30" s="2" t="n"/>
      <c r="Z30" s="2" t="n"/>
    </row>
    <row r="31">
      <c r="A31" s="2" t="n">
        <v>4</v>
      </c>
      <c r="B31" s="2" t="n">
        <v>260618</v>
      </c>
      <c r="C31" s="2" t="inlineStr">
        <is>
          <t>BBT-2</t>
        </is>
      </c>
      <c r="D31" s="2" t="inlineStr">
        <is>
          <t>A017</t>
        </is>
      </c>
      <c r="E31" s="2" t="inlineStr">
        <is>
          <t>260618-04(BBT-2)-A017.txt</t>
        </is>
      </c>
      <c r="F31" s="2" t="n">
        <v>1.839907893668059</v>
      </c>
      <c r="G31" s="2" t="n">
        <v>1.87338479579781</v>
      </c>
      <c r="H31" s="2" t="n">
        <v>2.172212459559852</v>
      </c>
      <c r="I31" s="2" t="n">
        <v>2.499606627215941</v>
      </c>
      <c r="J31" s="2" t="n">
        <v>2.184960899972526</v>
      </c>
      <c r="K31" s="2" t="n">
        <v>1.966372825809419</v>
      </c>
      <c r="L31" s="2" t="n">
        <v>1.701838287431637</v>
      </c>
      <c r="M31" s="2" t="n">
        <v>1.543115775695374</v>
      </c>
      <c r="N31" s="2" t="n"/>
      <c r="O31" s="2" t="n"/>
      <c r="P31" s="2" t="n"/>
      <c r="Q31" s="2">
        <f>((F31- 0.00793) / 0.1333)^(1/0.6199)</f>
        <v/>
      </c>
      <c r="R31" s="2">
        <f>((H31- 0.0166) / 0.0825)^(1/0.6529)</f>
        <v/>
      </c>
      <c r="S31" s="2">
        <f>((J31- 0.06053) / 0.0561)^(1/0.507)</f>
        <v/>
      </c>
      <c r="T31" s="2" t="n"/>
      <c r="U31" s="2" t="n"/>
      <c r="V31" s="2" t="n"/>
      <c r="W31" s="2" t="n"/>
      <c r="X31" s="2" t="n"/>
      <c r="Y31" s="2" t="n"/>
      <c r="Z31" s="2" t="n"/>
    </row>
    <row r="32">
      <c r="A32" s="2" t="n">
        <v>4</v>
      </c>
      <c r="B32" s="2" t="n">
        <v>260618</v>
      </c>
      <c r="C32" s="2" t="inlineStr">
        <is>
          <t>IC-1</t>
        </is>
      </c>
      <c r="D32" s="2" t="inlineStr">
        <is>
          <t>A016</t>
        </is>
      </c>
      <c r="E32" s="2" t="inlineStr">
        <is>
          <t>260618-05(IC-1)-A016.txt</t>
        </is>
      </c>
      <c r="F32" s="2" t="n">
        <v>3.213090158642407</v>
      </c>
      <c r="G32" s="2" t="n">
        <v>3.385612580019973</v>
      </c>
      <c r="H32" s="2" t="n">
        <v>3.165789979501634</v>
      </c>
      <c r="I32" s="2" t="n">
        <v>3.154820303229223</v>
      </c>
      <c r="J32" s="2" t="n">
        <v>3.466717794783361</v>
      </c>
      <c r="K32" s="2" t="n">
        <v>3.153621899804918</v>
      </c>
      <c r="L32" s="2" t="n">
        <v>2.476742889042639</v>
      </c>
      <c r="M32" s="2" t="n">
        <v>2.27009480257174</v>
      </c>
      <c r="N32" s="2" t="n"/>
      <c r="O32" s="2" t="n"/>
      <c r="P32" s="2" t="n"/>
      <c r="Q32" s="2">
        <f>((F32- 0.00793) / 0.1333)^(1/0.6199)</f>
        <v/>
      </c>
      <c r="R32" s="2">
        <f>((H32- 0.0166) / 0.0825)^(1/0.6529)</f>
        <v/>
      </c>
      <c r="S32" s="2">
        <f>((J32- 0.06053) / 0.0561)^(1/0.507)</f>
        <v/>
      </c>
      <c r="T32" s="2" t="n"/>
      <c r="U32" s="2" t="n"/>
      <c r="V32" s="2" t="n"/>
      <c r="W32" s="2" t="n"/>
      <c r="X32" s="2" t="n"/>
      <c r="Y32" s="2" t="n"/>
      <c r="Z32" s="2" t="n"/>
    </row>
    <row r="33">
      <c r="A33" s="2" t="n">
        <v>4</v>
      </c>
      <c r="B33" s="2" t="n">
        <v>260618</v>
      </c>
      <c r="C33" s="2" t="inlineStr">
        <is>
          <t>IC-2</t>
        </is>
      </c>
      <c r="D33" s="2" t="inlineStr">
        <is>
          <t>A017</t>
        </is>
      </c>
      <c r="E33" s="2" t="inlineStr">
        <is>
          <t>260618-05(IC-2)-A017.txt</t>
        </is>
      </c>
      <c r="F33" s="2" t="n">
        <v>2.950102626955165</v>
      </c>
      <c r="G33" s="2" t="n">
        <v>3.095204482093583</v>
      </c>
      <c r="H33" s="2" t="n">
        <v>3.531074083443274</v>
      </c>
      <c r="I33" s="2" t="n">
        <v>3.71875082539415</v>
      </c>
      <c r="J33" s="2" t="n">
        <v>3.322064327581792</v>
      </c>
      <c r="K33" s="2" t="n">
        <v>3.030808279702495</v>
      </c>
      <c r="L33" s="2" t="n">
        <v>2.778974671532134</v>
      </c>
      <c r="M33" s="2" t="n">
        <v>2.598291024408934</v>
      </c>
      <c r="N33" s="2" t="n"/>
      <c r="O33" s="2" t="n"/>
      <c r="P33" s="2" t="n"/>
      <c r="Q33" s="2">
        <f>((F33- 0.00793) / 0.1333)^(1/0.6199)</f>
        <v/>
      </c>
      <c r="R33" s="2">
        <f>((H33- 0.0166) / 0.0825)^(1/0.6529)</f>
        <v/>
      </c>
      <c r="S33" s="2">
        <f>((J33- 0.06053) / 0.0561)^(1/0.507)</f>
        <v/>
      </c>
      <c r="T33" s="2" t="n"/>
      <c r="U33" s="2" t="n"/>
      <c r="V33" s="2" t="n"/>
      <c r="W33" s="2" t="n"/>
      <c r="X33" s="2" t="n"/>
      <c r="Y33" s="2" t="n"/>
      <c r="Z33" s="2" t="n"/>
    </row>
    <row r="34">
      <c r="A34" s="2" t="n">
        <v>4</v>
      </c>
      <c r="B34" s="2" t="n">
        <v>260618</v>
      </c>
      <c r="C34" s="2" t="inlineStr">
        <is>
          <t>NCF6-1</t>
        </is>
      </c>
      <c r="D34" s="2" t="inlineStr">
        <is>
          <t>A016</t>
        </is>
      </c>
      <c r="E34" s="2" t="inlineStr">
        <is>
          <t>260618-06(NCF6-1)-A016.txt</t>
        </is>
      </c>
      <c r="F34" s="2" t="n">
        <v>1.950015377566404</v>
      </c>
      <c r="G34" s="2" t="n">
        <v>2.151016811659027</v>
      </c>
      <c r="H34" s="2" t="n">
        <v>2.384099354859083</v>
      </c>
      <c r="I34" s="2" t="n">
        <v>2.369202153025985</v>
      </c>
      <c r="J34" s="2" t="n">
        <v>2.010857332904146</v>
      </c>
      <c r="K34" s="2" t="n">
        <v>1.8185489247546</v>
      </c>
      <c r="L34" s="2" t="n">
        <v>1.656993568063505</v>
      </c>
      <c r="M34" s="2" t="n">
        <v>1.576090368709457</v>
      </c>
      <c r="N34" s="2" t="n"/>
      <c r="O34" s="2" t="n"/>
      <c r="P34" s="2" t="n"/>
      <c r="Q34" s="2">
        <f>((F34- 0.00793) / 0.1333)^(1/0.6199)</f>
        <v/>
      </c>
      <c r="R34" s="2">
        <f>((H34- 0.0166) / 0.0825)^(1/0.6529)</f>
        <v/>
      </c>
      <c r="S34" s="2">
        <f>((J34- 0.06053) / 0.0561)^(1/0.507)</f>
        <v/>
      </c>
      <c r="T34" s="2" t="n"/>
      <c r="U34" s="2" t="n"/>
      <c r="V34" s="2" t="n"/>
      <c r="W34" s="2" t="n"/>
      <c r="X34" s="2" t="n"/>
      <c r="Y34" s="2" t="n"/>
      <c r="Z34" s="2" t="n"/>
    </row>
    <row r="35">
      <c r="A35" s="2" t="n">
        <v>4</v>
      </c>
      <c r="B35" s="2" t="n">
        <v>260618</v>
      </c>
      <c r="C35" s="2" t="inlineStr">
        <is>
          <t>NCF6-2</t>
        </is>
      </c>
      <c r="D35" s="2" t="inlineStr">
        <is>
          <t>A017</t>
        </is>
      </c>
      <c r="E35" s="2" t="inlineStr">
        <is>
          <t>260618-06(NCF6-2)-A017.txt</t>
        </is>
      </c>
      <c r="F35" s="2" t="n">
        <v>1.983184263695774</v>
      </c>
      <c r="G35" s="2" t="n">
        <v>2.076704828157641</v>
      </c>
      <c r="H35" s="2" t="n">
        <v>2.386354870646434</v>
      </c>
      <c r="I35" s="2" t="n">
        <v>2.363257880880458</v>
      </c>
      <c r="J35" s="2" t="n">
        <v>1.965666642611365</v>
      </c>
      <c r="K35" s="2" t="n">
        <v>1.809317255889776</v>
      </c>
      <c r="L35" s="2" t="n">
        <v>1.632991063587297</v>
      </c>
      <c r="M35" s="2" t="n">
        <v>1.593358532249153</v>
      </c>
      <c r="N35" s="2" t="n"/>
      <c r="O35" s="2" t="n"/>
      <c r="P35" s="2" t="n"/>
      <c r="Q35" s="2">
        <f>((F35- 0.00793) / 0.1333)^(1/0.6199)</f>
        <v/>
      </c>
      <c r="R35" s="2">
        <f>((H35- 0.0166) / 0.0825)^(1/0.6529)</f>
        <v/>
      </c>
      <c r="S35" s="2">
        <f>((J35- 0.06053) / 0.0561)^(1/0.507)</f>
        <v/>
      </c>
      <c r="T35" s="2" t="n"/>
      <c r="U35" s="2" t="n"/>
      <c r="V35" s="2" t="n"/>
      <c r="W35" s="2" t="n"/>
      <c r="X35" s="2" t="n"/>
      <c r="Y35" s="2" t="n"/>
      <c r="Z35" s="2" t="n"/>
    </row>
    <row r="36">
      <c r="A36" s="2" t="n">
        <v>5</v>
      </c>
      <c r="B36" s="2" t="n">
        <v>260625</v>
      </c>
      <c r="C36" s="2" t="inlineStr">
        <is>
          <t>M18</t>
        </is>
      </c>
      <c r="D36" s="2" t="inlineStr">
        <is>
          <t>A017</t>
        </is>
      </c>
      <c r="E36" s="2" t="inlineStr">
        <is>
          <t>260625-01(M18)-A017.txt</t>
        </is>
      </c>
      <c r="F36" s="2" t="n">
        <v>1.000237431877355</v>
      </c>
      <c r="G36" s="2" t="n">
        <v>1.152162221427692</v>
      </c>
      <c r="H36" s="2" t="n">
        <v>1.040325565557001</v>
      </c>
      <c r="I36" s="2" t="n">
        <v>0.8389499111460026</v>
      </c>
      <c r="J36" s="2" t="n">
        <v>0.6673007486803747</v>
      </c>
      <c r="K36" s="2" t="n">
        <v>0.6675960177460425</v>
      </c>
      <c r="L36" s="2" t="n">
        <v>0.7500833444277858</v>
      </c>
      <c r="M36" s="2" t="n">
        <v>0.8695444252702714</v>
      </c>
      <c r="N36" s="2" t="n"/>
      <c r="O36" s="2" t="n"/>
      <c r="P36" s="2" t="n"/>
      <c r="Q36" s="2">
        <f>((F36- 0.00793) / 0.1333)^(1/0.6199)</f>
        <v/>
      </c>
      <c r="R36" s="2">
        <f>((H36- 0.0166) / 0.0825)^(1/0.6529)</f>
        <v/>
      </c>
      <c r="S36" s="2">
        <f>((J36- 0.06053) / 0.0561)^(1/0.507)</f>
        <v/>
      </c>
      <c r="T36" s="2" t="n"/>
      <c r="U36" s="2" t="n"/>
      <c r="V36" s="2" t="n"/>
      <c r="W36" s="2" t="n"/>
      <c r="X36" s="2" t="n"/>
      <c r="Y36" s="2" t="n"/>
      <c r="Z36" s="2" t="n"/>
    </row>
    <row r="37">
      <c r="A37" s="2" t="n">
        <v>5</v>
      </c>
      <c r="B37" s="2" t="n">
        <v>260625</v>
      </c>
      <c r="C37" s="2" t="inlineStr">
        <is>
          <t>M23</t>
        </is>
      </c>
      <c r="D37" s="2" t="inlineStr">
        <is>
          <t>A017</t>
        </is>
      </c>
      <c r="E37" s="2" t="inlineStr">
        <is>
          <t>260625-02(M23)-A017.txt</t>
        </is>
      </c>
      <c r="F37" s="2" t="n">
        <v>1.323283119532456</v>
      </c>
      <c r="G37" s="2" t="n">
        <v>1.270151133509004</v>
      </c>
      <c r="H37" s="2" t="n">
        <v>1.052843157912499</v>
      </c>
      <c r="I37" s="2" t="n">
        <v>0.7345338214425073</v>
      </c>
      <c r="J37" s="2" t="n">
        <v>0.5845237108462403</v>
      </c>
      <c r="K37" s="2" t="n">
        <v>0.5628712004981613</v>
      </c>
      <c r="L37" s="2" t="n">
        <v>0.5870378756633873</v>
      </c>
      <c r="M37" s="2" t="n">
        <v>0.7980347041466833</v>
      </c>
      <c r="N37" s="2" t="n"/>
      <c r="O37" s="2" t="n"/>
      <c r="P37" s="2" t="n"/>
      <c r="Q37" s="2">
        <f>((F37- 0.00793) / 0.1333)^(1/0.6199)</f>
        <v/>
      </c>
      <c r="R37" s="2">
        <f>((H37- 0.0166) / 0.0825)^(1/0.6529)</f>
        <v/>
      </c>
      <c r="S37" s="2">
        <f>((J37- 0.06053) / 0.0561)^(1/0.507)</f>
        <v/>
      </c>
      <c r="T37" s="2" t="n"/>
      <c r="U37" s="2" t="n"/>
      <c r="V37" s="2" t="n"/>
      <c r="W37" s="2" t="n"/>
      <c r="X37" s="2" t="n"/>
      <c r="Y37" s="2" t="n"/>
      <c r="Z37" s="2" t="n"/>
    </row>
    <row r="38">
      <c r="A38" s="2" t="n">
        <v>5</v>
      </c>
      <c r="B38" s="2" t="n">
        <v>260625</v>
      </c>
      <c r="C38" s="2" t="inlineStr">
        <is>
          <t>M35</t>
        </is>
      </c>
      <c r="D38" s="2" t="inlineStr">
        <is>
          <t>A017</t>
        </is>
      </c>
      <c r="E38" s="2" t="inlineStr">
        <is>
          <t>260625-03(M35)-A017.txt</t>
        </is>
      </c>
      <c r="F38" s="2" t="n">
        <v>1.473266916103151</v>
      </c>
      <c r="G38" s="2" t="n">
        <v>1.568730436331165</v>
      </c>
      <c r="H38" s="2" t="n">
        <v>1.741838348453081</v>
      </c>
      <c r="I38" s="2" t="n">
        <v>1.622419085256686</v>
      </c>
      <c r="J38" s="2" t="n">
        <v>1.334738351847417</v>
      </c>
      <c r="K38" s="2" t="n">
        <v>1.267022988729769</v>
      </c>
      <c r="L38" s="2" t="n">
        <v>1.289459682194623</v>
      </c>
      <c r="M38" s="2" t="n">
        <v>1.414200636378638</v>
      </c>
      <c r="N38" s="2" t="n"/>
      <c r="O38" s="2" t="n"/>
      <c r="P38" s="2" t="n"/>
      <c r="Q38" s="2">
        <f>((F38- 0.00793) / 0.1333)^(1/0.6199)</f>
        <v/>
      </c>
      <c r="R38" s="2">
        <f>((H38- 0.0166) / 0.0825)^(1/0.6529)</f>
        <v/>
      </c>
      <c r="S38" s="2">
        <f>((J38- 0.06053) / 0.0561)^(1/0.507)</f>
        <v/>
      </c>
      <c r="T38" s="2" t="n"/>
      <c r="U38" s="2" t="n"/>
      <c r="V38" s="2" t="n"/>
      <c r="W38" s="2" t="n"/>
      <c r="X38" s="2" t="n"/>
      <c r="Y38" s="2" t="n"/>
      <c r="Z38" s="2" t="n"/>
    </row>
    <row r="39">
      <c r="A39" s="2" t="n">
        <v>5</v>
      </c>
      <c r="B39" s="2" t="n">
        <v>260625</v>
      </c>
      <c r="C39" s="2" t="inlineStr">
        <is>
          <t>M54</t>
        </is>
      </c>
      <c r="D39" s="2" t="inlineStr">
        <is>
          <t>A017</t>
        </is>
      </c>
      <c r="E39" s="2" t="inlineStr">
        <is>
          <t>260625-04(M54)-A017.txt</t>
        </is>
      </c>
      <c r="F39" s="2" t="n">
        <v>1.337925065833242</v>
      </c>
      <c r="G39" s="2" t="n">
        <v>1.486454922284147</v>
      </c>
      <c r="H39" s="2" t="n">
        <v>1.725783146909386</v>
      </c>
      <c r="I39" s="2" t="n">
        <v>1.656640837831023</v>
      </c>
      <c r="J39" s="2" t="n">
        <v>1.277868946216152</v>
      </c>
      <c r="K39" s="2" t="n">
        <v>1.142150091199471</v>
      </c>
      <c r="L39" s="2" t="n">
        <v>1.124331096711294</v>
      </c>
      <c r="M39" s="2" t="n">
        <v>1.198768475334038</v>
      </c>
      <c r="N39" s="2" t="n"/>
      <c r="O39" s="2" t="n"/>
      <c r="P39" s="2" t="n"/>
      <c r="Q39" s="2">
        <f>((F39- 0.00793) / 0.1333)^(1/0.6199)</f>
        <v/>
      </c>
      <c r="R39" s="2">
        <f>((H39- 0.0166) / 0.0825)^(1/0.6529)</f>
        <v/>
      </c>
      <c r="S39" s="2">
        <f>((J39- 0.06053) / 0.0561)^(1/0.507)</f>
        <v/>
      </c>
      <c r="T39" s="2" t="n"/>
      <c r="U39" s="2" t="n"/>
      <c r="V39" s="2" t="n"/>
      <c r="W39" s="2" t="n"/>
      <c r="X39" s="2" t="n"/>
      <c r="Y39" s="2" t="n"/>
      <c r="Z39" s="2" t="n"/>
    </row>
    <row r="40">
      <c r="A40" s="2" t="n">
        <v>5</v>
      </c>
      <c r="B40" s="2" t="n">
        <v>260625</v>
      </c>
      <c r="C40" s="2" t="inlineStr">
        <is>
          <t>BRR</t>
        </is>
      </c>
      <c r="D40" s="2" t="inlineStr">
        <is>
          <t>A017</t>
        </is>
      </c>
      <c r="E40" s="2" t="inlineStr">
        <is>
          <t>260625-05(BRR)-A017.txt</t>
        </is>
      </c>
      <c r="F40" s="2" t="n">
        <v>1.956520412819701</v>
      </c>
      <c r="G40" s="2" t="n">
        <v>2.170870880832306</v>
      </c>
      <c r="H40" s="2" t="n">
        <v>2.437748815673262</v>
      </c>
      <c r="I40" s="2" t="n">
        <v>2.268304634533711</v>
      </c>
      <c r="J40" s="2" t="n">
        <v>1.803801400293469</v>
      </c>
      <c r="K40" s="2" t="n">
        <v>1.640387828779766</v>
      </c>
      <c r="L40" s="2" t="n">
        <v>1.549293770728159</v>
      </c>
      <c r="M40" s="2" t="n">
        <v>1.575056813191678</v>
      </c>
      <c r="N40" s="2" t="n"/>
      <c r="O40" s="2" t="n"/>
      <c r="P40" s="2" t="n"/>
      <c r="Q40" s="2">
        <f>((F40- 0.00793) / 0.1333)^(1/0.6199)</f>
        <v/>
      </c>
      <c r="R40" s="2">
        <f>((H40- 0.0166) / 0.0825)^(1/0.6529)</f>
        <v/>
      </c>
      <c r="S40" s="2">
        <f>((J40- 0.06053) / 0.0561)^(1/0.507)</f>
        <v/>
      </c>
      <c r="T40" s="2" t="n"/>
      <c r="U40" s="2" t="n"/>
      <c r="V40" s="2" t="n"/>
      <c r="W40" s="2" t="n"/>
      <c r="X40" s="2" t="n"/>
      <c r="Y40" s="2" t="n"/>
      <c r="Z40" s="2" t="n"/>
    </row>
    <row r="41">
      <c r="A41" s="2" t="n">
        <v>5</v>
      </c>
      <c r="B41" s="2" t="n">
        <v>260625</v>
      </c>
      <c r="C41" s="2" t="inlineStr">
        <is>
          <t>M61</t>
        </is>
      </c>
      <c r="D41" s="2" t="inlineStr">
        <is>
          <t>A017</t>
        </is>
      </c>
      <c r="E41" s="2" t="inlineStr">
        <is>
          <t>260625-06(M61)-A017.txt</t>
        </is>
      </c>
      <c r="F41" s="2" t="n">
        <v>1.66001154641357</v>
      </c>
      <c r="G41" s="2" t="n">
        <v>1.843668990698201</v>
      </c>
      <c r="H41" s="2" t="n">
        <v>2.078553838150814</v>
      </c>
      <c r="I41" s="2" t="n">
        <v>1.90713229355827</v>
      </c>
      <c r="J41" s="2" t="n">
        <v>1.545774556812846</v>
      </c>
      <c r="K41" s="2" t="n">
        <v>1.420957803121816</v>
      </c>
      <c r="L41" s="2" t="n">
        <v>1.390803548704003</v>
      </c>
      <c r="M41" s="2" t="n">
        <v>1.484248492486248</v>
      </c>
      <c r="N41" s="2" t="n"/>
      <c r="O41" s="2" t="n"/>
      <c r="P41" s="2" t="n"/>
      <c r="Q41" s="2">
        <f>((F41- 0.00793) / 0.1333)^(1/0.6199)</f>
        <v/>
      </c>
      <c r="R41" s="2">
        <f>((H41- 0.0166) / 0.0825)^(1/0.6529)</f>
        <v/>
      </c>
      <c r="S41" s="2">
        <f>((J41- 0.06053) / 0.0561)^(1/0.507)</f>
        <v/>
      </c>
      <c r="T41" s="2" t="n"/>
      <c r="U41" s="2" t="n"/>
      <c r="V41" s="2" t="n"/>
      <c r="W41" s="2" t="n"/>
      <c r="X41" s="2" t="n"/>
      <c r="Y41" s="2" t="n"/>
      <c r="Z41" s="2" t="n"/>
    </row>
    <row r="42">
      <c r="A42" s="2" t="n">
        <v>5</v>
      </c>
      <c r="B42" s="2" t="n">
        <v>260625</v>
      </c>
      <c r="C42" s="2" t="inlineStr">
        <is>
          <t>HB</t>
        </is>
      </c>
      <c r="D42" s="2" t="inlineStr">
        <is>
          <t>A017</t>
        </is>
      </c>
      <c r="E42" s="2" t="inlineStr">
        <is>
          <t>260625-07(HB)-A017.txt</t>
        </is>
      </c>
      <c r="F42" s="2" t="n">
        <v>1.842908051490419</v>
      </c>
      <c r="G42" s="2" t="n">
        <v>1.981179111209467</v>
      </c>
      <c r="H42" s="2" t="n">
        <v>2.268943717883297</v>
      </c>
      <c r="I42" s="2" t="n">
        <v>2.231364979046047</v>
      </c>
      <c r="J42" s="2" t="n">
        <v>1.860808280530449</v>
      </c>
      <c r="K42" s="2" t="n">
        <v>1.686813809448436</v>
      </c>
      <c r="L42" s="2" t="n">
        <v>1.571444069460594</v>
      </c>
      <c r="M42" s="2" t="n">
        <v>1.598702223091937</v>
      </c>
      <c r="N42" s="2" t="n"/>
      <c r="O42" s="2" t="n"/>
      <c r="P42" s="2" t="n"/>
      <c r="Q42" s="2">
        <f>((F42- 0.00793) / 0.1333)^(1/0.6199)</f>
        <v/>
      </c>
      <c r="R42" s="2">
        <f>((H42- 0.0166) / 0.0825)^(1/0.6529)</f>
        <v/>
      </c>
      <c r="S42" s="2">
        <f>((J42- 0.06053) / 0.0561)^(1/0.507)</f>
        <v/>
      </c>
      <c r="T42" s="2" t="n"/>
      <c r="U42" s="2" t="n"/>
      <c r="V42" s="2" t="n"/>
      <c r="W42" s="2" t="n"/>
      <c r="X42" s="2" t="n"/>
      <c r="Y42" s="2" t="n"/>
      <c r="Z42" s="2" t="n"/>
    </row>
    <row r="43">
      <c r="A43" s="2" t="n">
        <v>5</v>
      </c>
      <c r="B43" s="2" t="n">
        <v>260625</v>
      </c>
      <c r="C43" s="2" t="inlineStr">
        <is>
          <t>NAV</t>
        </is>
      </c>
      <c r="D43" s="2" t="inlineStr">
        <is>
          <t>A017</t>
        </is>
      </c>
      <c r="E43" s="2" t="inlineStr">
        <is>
          <t>260625-08(NAV)-A017.txt</t>
        </is>
      </c>
      <c r="F43" s="2" t="n">
        <v>2.129110929947344</v>
      </c>
      <c r="G43" s="2" t="n">
        <v>2.25279665676981</v>
      </c>
      <c r="H43" s="2" t="n">
        <v>2.58372460637585</v>
      </c>
      <c r="I43" s="2" t="n">
        <v>2.631182468780449</v>
      </c>
      <c r="J43" s="2" t="n">
        <v>2.214568437978821</v>
      </c>
      <c r="K43" s="2" t="n">
        <v>2.003653628478062</v>
      </c>
      <c r="L43" s="2" t="n">
        <v>1.838298337444903</v>
      </c>
      <c r="M43" s="2" t="n">
        <v>1.810143365401889</v>
      </c>
      <c r="N43" s="2" t="n"/>
      <c r="O43" s="2" t="n"/>
      <c r="P43" s="2" t="n"/>
      <c r="Q43" s="2">
        <f>((F43- 0.00793) / 0.1333)^(1/0.6199)</f>
        <v/>
      </c>
      <c r="R43" s="2">
        <f>((H43- 0.0166) / 0.0825)^(1/0.6529)</f>
        <v/>
      </c>
      <c r="S43" s="2">
        <f>((J43- 0.06053) / 0.0561)^(1/0.507)</f>
        <v/>
      </c>
      <c r="T43" s="2" t="n"/>
      <c r="U43" s="2" t="n"/>
      <c r="V43" s="2" t="n"/>
      <c r="W43" s="2" t="n"/>
      <c r="X43" s="2" t="n"/>
      <c r="Y43" s="2" t="n"/>
      <c r="Z43" s="2" t="n"/>
    </row>
    <row r="44">
      <c r="A44" s="2" t="n">
        <v>6</v>
      </c>
      <c r="B44" s="2" t="n">
        <v>260702</v>
      </c>
      <c r="C44" s="2" t="inlineStr">
        <is>
          <t>M18</t>
        </is>
      </c>
      <c r="D44" s="2" t="inlineStr">
        <is>
          <t>A017</t>
        </is>
      </c>
      <c r="E44" s="2" t="inlineStr">
        <is>
          <t>260702-01(M18)-A017.txt</t>
        </is>
      </c>
      <c r="F44" s="2" t="n">
        <v>0.8008324233330849</v>
      </c>
      <c r="G44" s="2" t="n">
        <v>0.7762998010664106</v>
      </c>
      <c r="H44" s="2" t="n">
        <v>0.6496713957018959</v>
      </c>
      <c r="I44" s="2" t="n">
        <v>0.5190960534876747</v>
      </c>
      <c r="J44" s="2" t="n">
        <v>0.4680830996740837</v>
      </c>
      <c r="K44" s="2" t="n">
        <v>0.5176685703279</v>
      </c>
      <c r="L44" s="2" t="n">
        <v>0.6217807275605252</v>
      </c>
      <c r="M44" s="2" t="n">
        <v>0.7762681721651647</v>
      </c>
      <c r="N44" s="2" t="n">
        <v>3.2</v>
      </c>
      <c r="O44" s="2" t="n"/>
      <c r="P44" s="2" t="n"/>
      <c r="Q44" s="2">
        <f>((F44- 0.00793) / 0.1333)^(1/0.6199)</f>
        <v/>
      </c>
      <c r="R44" s="2">
        <f>((H44- 0.0166) / 0.0825)^(1/0.6529)</f>
        <v/>
      </c>
      <c r="S44" s="2">
        <f>((J44- 0.06053) / 0.0561)^(1/0.507)</f>
        <v/>
      </c>
      <c r="T44" s="2" t="n"/>
      <c r="U44" s="2" t="n"/>
      <c r="V44" s="2" t="n"/>
      <c r="W44" s="2" t="n"/>
      <c r="X44" s="2" t="n"/>
      <c r="Y44" s="2" t="n"/>
      <c r="Z44" s="2" t="n"/>
    </row>
    <row r="45">
      <c r="A45" s="2" t="n">
        <v>6</v>
      </c>
      <c r="B45" s="2" t="n">
        <v>260702</v>
      </c>
      <c r="C45" s="2" t="inlineStr">
        <is>
          <t>M23-1</t>
        </is>
      </c>
      <c r="D45" s="2" t="inlineStr">
        <is>
          <t>A017</t>
        </is>
      </c>
      <c r="E45" s="2" t="inlineStr">
        <is>
          <t>260702-02(M23-1)-A017.txt</t>
        </is>
      </c>
      <c r="F45" s="2" t="n">
        <v>1.138261375123299</v>
      </c>
      <c r="G45" s="2" t="n">
        <v>1.238223028146921</v>
      </c>
      <c r="H45" s="2" t="n">
        <v>1.138496091180178</v>
      </c>
      <c r="I45" s="2" t="n">
        <v>0.9650141853222602</v>
      </c>
      <c r="J45" s="2" t="n">
        <v>0.8339857058468046</v>
      </c>
      <c r="K45" s="2" t="n">
        <v>0.8580282835981583</v>
      </c>
      <c r="L45" s="2" t="n">
        <v>0.9409790504448222</v>
      </c>
      <c r="M45" s="2" t="n">
        <v>1.083922843846324</v>
      </c>
      <c r="N45" s="2" t="n">
        <v>4.4</v>
      </c>
      <c r="O45" s="2" t="n"/>
      <c r="P45" s="2" t="n"/>
      <c r="Q45" s="2">
        <f>((F45- 0.00793) / 0.1333)^(1/0.6199)</f>
        <v/>
      </c>
      <c r="R45" s="2">
        <f>((H45- 0.0166) / 0.0825)^(1/0.6529)</f>
        <v/>
      </c>
      <c r="S45" s="2">
        <f>((J45- 0.06053) / 0.0561)^(1/0.507)</f>
        <v/>
      </c>
      <c r="T45" s="2" t="n"/>
      <c r="U45" s="2" t="n"/>
      <c r="V45" s="2" t="n"/>
      <c r="W45" s="2" t="n"/>
      <c r="X45" s="2" t="n"/>
      <c r="Y45" s="2" t="n"/>
      <c r="Z45" s="2" t="n"/>
    </row>
    <row r="46">
      <c r="A46" s="2" t="n">
        <v>6</v>
      </c>
      <c r="B46" s="2" t="n">
        <v>260702</v>
      </c>
      <c r="C46" s="2" t="inlineStr">
        <is>
          <t>M23-2</t>
        </is>
      </c>
      <c r="D46" s="2" t="inlineStr">
        <is>
          <t>A017</t>
        </is>
      </c>
      <c r="E46" s="2" t="inlineStr">
        <is>
          <t>260702-02(M23-2)-A017.txt</t>
        </is>
      </c>
      <c r="F46" s="2" t="n">
        <v>1.07132985155036</v>
      </c>
      <c r="G46" s="2" t="n">
        <v>0.8667642098482344</v>
      </c>
      <c r="H46" s="2" t="n">
        <v>0.7154591160456941</v>
      </c>
      <c r="I46" s="2" t="n">
        <v>0.4775633895250515</v>
      </c>
      <c r="J46" s="2" t="n">
        <v>0.4052036573343945</v>
      </c>
      <c r="K46" s="2" t="n">
        <v>0.4530342925154675</v>
      </c>
      <c r="L46" s="2" t="n">
        <v>0.4424858980426518</v>
      </c>
      <c r="M46" s="2" t="n">
        <v>0.6424328208493874</v>
      </c>
      <c r="N46" s="2" t="n">
        <v>4.4</v>
      </c>
      <c r="O46" s="2" t="n"/>
      <c r="P46" s="2" t="n"/>
      <c r="Q46" s="2">
        <f>((F46- 0.00793) / 0.1333)^(1/0.6199)</f>
        <v/>
      </c>
      <c r="R46" s="2">
        <f>((H46- 0.0166) / 0.0825)^(1/0.6529)</f>
        <v/>
      </c>
      <c r="S46" s="2">
        <f>((J46- 0.06053) / 0.0561)^(1/0.507)</f>
        <v/>
      </c>
      <c r="T46" s="2" t="n"/>
      <c r="U46" s="2" t="n"/>
      <c r="V46" s="2" t="n"/>
      <c r="W46" s="2" t="n"/>
      <c r="X46" s="2" t="n"/>
      <c r="Y46" s="2" t="n"/>
      <c r="Z46" s="2" t="n"/>
    </row>
    <row r="47">
      <c r="A47" s="2" t="n">
        <v>6</v>
      </c>
      <c r="B47" s="2" t="n">
        <v>260702</v>
      </c>
      <c r="C47" s="2" t="inlineStr">
        <is>
          <t>M35</t>
        </is>
      </c>
      <c r="D47" s="2" t="inlineStr">
        <is>
          <t>A017</t>
        </is>
      </c>
      <c r="E47" s="2" t="inlineStr">
        <is>
          <t>260702-03(M35)-A017.txt</t>
        </is>
      </c>
      <c r="F47" s="2" t="n">
        <v>0.9682331764521617</v>
      </c>
      <c r="G47" s="2" t="n">
        <v>1.09026671608051</v>
      </c>
      <c r="H47" s="2" t="n">
        <v>1.11130657270973</v>
      </c>
      <c r="I47" s="2" t="n">
        <v>0.9548371618897502</v>
      </c>
      <c r="J47" s="2" t="n">
        <v>0.7560412847851841</v>
      </c>
      <c r="K47" s="2" t="n">
        <v>0.7606407983236947</v>
      </c>
      <c r="L47" s="2" t="n">
        <v>0.8388627439407819</v>
      </c>
      <c r="M47" s="2" t="n">
        <v>0.9415477643550614</v>
      </c>
      <c r="N47" s="2" t="n">
        <v>13.87</v>
      </c>
      <c r="O47" s="2" t="n"/>
      <c r="P47" s="2" t="n"/>
      <c r="Q47" s="2">
        <f>((F47- 0.00793) / 0.1333)^(1/0.6199)</f>
        <v/>
      </c>
      <c r="R47" s="2">
        <f>((H47- 0.0166) / 0.0825)^(1/0.6529)</f>
        <v/>
      </c>
      <c r="S47" s="2">
        <f>((J47- 0.06053) / 0.0561)^(1/0.507)</f>
        <v/>
      </c>
      <c r="T47" s="2" t="n"/>
      <c r="U47" s="2" t="n"/>
      <c r="V47" s="2" t="n"/>
      <c r="W47" s="2" t="n"/>
      <c r="X47" s="2" t="n"/>
      <c r="Y47" s="2" t="n"/>
      <c r="Z47" s="2" t="n"/>
    </row>
    <row r="48">
      <c r="A48" s="2" t="n">
        <v>6</v>
      </c>
      <c r="B48" s="2" t="n">
        <v>260702</v>
      </c>
      <c r="C48" s="2" t="inlineStr">
        <is>
          <t>M54</t>
        </is>
      </c>
      <c r="D48" s="2" t="inlineStr">
        <is>
          <t>A017</t>
        </is>
      </c>
      <c r="E48" s="2" t="inlineStr">
        <is>
          <t>260702-04(M54)-A017.txt</t>
        </is>
      </c>
      <c r="F48" s="2" t="n">
        <v>0.8966404898403588</v>
      </c>
      <c r="G48" s="2" t="n">
        <v>1.24915491456883</v>
      </c>
      <c r="H48" s="2" t="n">
        <v>1.186209358538178</v>
      </c>
      <c r="I48" s="2" t="n">
        <v>0.851521318176269</v>
      </c>
      <c r="J48" s="2" t="n">
        <v>0.5345797850648615</v>
      </c>
      <c r="K48" s="2" t="n">
        <v>0.4597012283844184</v>
      </c>
      <c r="L48" s="2" t="n">
        <v>0.465047093811464</v>
      </c>
      <c r="M48" s="2" t="n">
        <v>0.6032030059453574</v>
      </c>
      <c r="N48" s="2" t="n">
        <v>26.2</v>
      </c>
      <c r="O48" s="2" t="n"/>
      <c r="P48" s="2" t="n"/>
      <c r="Q48" s="2">
        <f>((F48- 0.00793) / 0.1333)^(1/0.6199)</f>
        <v/>
      </c>
      <c r="R48" s="2">
        <f>((H48- 0.0166) / 0.0825)^(1/0.6529)</f>
        <v/>
      </c>
      <c r="S48" s="2">
        <f>((J48- 0.06053) / 0.0561)^(1/0.507)</f>
        <v/>
      </c>
      <c r="T48" s="2" t="n"/>
      <c r="U48" s="2" t="n"/>
      <c r="V48" s="2" t="n"/>
      <c r="W48" s="2" t="n"/>
      <c r="X48" s="2" t="n"/>
      <c r="Y48" s="2" t="n"/>
      <c r="Z48" s="2" t="n"/>
    </row>
    <row r="49">
      <c r="A49" s="2" t="n">
        <v>6</v>
      </c>
      <c r="B49" s="2" t="n">
        <v>260702</v>
      </c>
      <c r="C49" s="2" t="inlineStr">
        <is>
          <t>BRR</t>
        </is>
      </c>
      <c r="D49" s="2" t="inlineStr">
        <is>
          <t>A017</t>
        </is>
      </c>
      <c r="E49" s="2" t="inlineStr">
        <is>
          <t>260702-05(BRR)-A017.txt</t>
        </is>
      </c>
      <c r="F49" s="2" t="n">
        <v>1.896258377586488</v>
      </c>
      <c r="G49" s="2" t="n">
        <v>2.027481272113554</v>
      </c>
      <c r="H49" s="2" t="n">
        <v>2.288842761222862</v>
      </c>
      <c r="I49" s="2" t="n">
        <v>2.160768452560649</v>
      </c>
      <c r="J49" s="2" t="n">
        <v>1.688790288943764</v>
      </c>
      <c r="K49" s="2" t="n">
        <v>1.541339015129661</v>
      </c>
      <c r="L49" s="2" t="n">
        <v>1.4714284070845</v>
      </c>
      <c r="M49" s="2" t="n">
        <v>1.561328442213434</v>
      </c>
      <c r="N49" s="2" t="n">
        <v>38.73</v>
      </c>
      <c r="O49" s="2" t="n"/>
      <c r="P49" s="2" t="n"/>
      <c r="Q49" s="2">
        <f>((F49- 0.00793) / 0.1333)^(1/0.6199)</f>
        <v/>
      </c>
      <c r="R49" s="2">
        <f>((H49- 0.0166) / 0.0825)^(1/0.6529)</f>
        <v/>
      </c>
      <c r="S49" s="2">
        <f>((J49- 0.06053) / 0.0561)^(1/0.507)</f>
        <v/>
      </c>
      <c r="T49" s="2" t="n"/>
      <c r="U49" s="2" t="n"/>
      <c r="V49" s="2" t="n"/>
      <c r="W49" s="2" t="n"/>
      <c r="X49" s="2" t="n"/>
      <c r="Y49" s="2" t="n"/>
      <c r="Z49" s="2" t="n"/>
    </row>
    <row r="50">
      <c r="A50" s="2" t="n">
        <v>6</v>
      </c>
      <c r="B50" s="2" t="n">
        <v>260702</v>
      </c>
      <c r="C50" s="2" t="inlineStr">
        <is>
          <t>M61</t>
        </is>
      </c>
      <c r="D50" s="2" t="inlineStr">
        <is>
          <t>A017</t>
        </is>
      </c>
      <c r="E50" s="2" t="inlineStr">
        <is>
          <t>260702-06(M61)-A017.txt</t>
        </is>
      </c>
      <c r="F50" s="2" t="n">
        <v>1.438829188852209</v>
      </c>
      <c r="G50" s="2" t="n">
        <v>1.585774281567635</v>
      </c>
      <c r="H50" s="2" t="n">
        <v>1.770823299093581</v>
      </c>
      <c r="I50" s="2" t="n">
        <v>1.686969508887117</v>
      </c>
      <c r="J50" s="2" t="n">
        <v>1.337404957179251</v>
      </c>
      <c r="K50" s="2" t="n">
        <v>1.241464423164509</v>
      </c>
      <c r="L50" s="2" t="n">
        <v>1.269211537086828</v>
      </c>
      <c r="M50" s="2" t="n">
        <v>1.382312125938526</v>
      </c>
      <c r="N50" s="2" t="n">
        <v>25</v>
      </c>
      <c r="O50" s="2" t="n"/>
      <c r="P50" s="2" t="n"/>
      <c r="Q50" s="2">
        <f>((F50- 0.00793) / 0.1333)^(1/0.6199)</f>
        <v/>
      </c>
      <c r="R50" s="2">
        <f>((H50- 0.0166) / 0.0825)^(1/0.6529)</f>
        <v/>
      </c>
      <c r="S50" s="2">
        <f>((J50- 0.06053) / 0.0561)^(1/0.507)</f>
        <v/>
      </c>
      <c r="T50" s="2" t="n"/>
      <c r="U50" s="2" t="n"/>
      <c r="V50" s="2" t="n"/>
      <c r="W50" s="2" t="n"/>
      <c r="X50" s="2" t="n"/>
      <c r="Y50" s="2" t="n"/>
      <c r="Z50" s="2" t="n"/>
    </row>
    <row r="51">
      <c r="A51" s="2" t="n">
        <v>6</v>
      </c>
      <c r="B51" s="2" t="n">
        <v>260702</v>
      </c>
      <c r="C51" s="2" t="inlineStr">
        <is>
          <t>HB</t>
        </is>
      </c>
      <c r="D51" s="2" t="inlineStr">
        <is>
          <t>A017</t>
        </is>
      </c>
      <c r="E51" s="2" t="inlineStr">
        <is>
          <t>260702-07(HB)-A017.txt</t>
        </is>
      </c>
      <c r="F51" s="2" t="n">
        <v>1.564918092864057</v>
      </c>
      <c r="G51" s="2" t="n">
        <v>1.69125941498699</v>
      </c>
      <c r="H51" s="2" t="n">
        <v>1.929517681151368</v>
      </c>
      <c r="I51" s="2" t="n">
        <v>1.826715413509129</v>
      </c>
      <c r="J51" s="2" t="n">
        <v>1.471258936727595</v>
      </c>
      <c r="K51" s="2" t="n">
        <v>1.341904601040371</v>
      </c>
      <c r="L51" s="2" t="n">
        <v>1.295375658957904</v>
      </c>
      <c r="M51" s="2" t="n">
        <v>1.369468705298215</v>
      </c>
      <c r="N51" s="2" t="n">
        <v>17.2</v>
      </c>
      <c r="O51" s="2" t="n"/>
      <c r="P51" s="2" t="n"/>
      <c r="Q51" s="2">
        <f>((F51- 0.00793) / 0.1333)^(1/0.6199)</f>
        <v/>
      </c>
      <c r="R51" s="2">
        <f>((H51- 0.0166) / 0.0825)^(1/0.6529)</f>
        <v/>
      </c>
      <c r="S51" s="2">
        <f>((J51- 0.06053) / 0.0561)^(1/0.507)</f>
        <v/>
      </c>
      <c r="T51" s="2" t="n"/>
      <c r="U51" s="2" t="n"/>
      <c r="V51" s="2" t="n"/>
      <c r="W51" s="2" t="n"/>
      <c r="X51" s="2" t="n"/>
      <c r="Y51" s="2" t="n"/>
      <c r="Z51" s="2" t="n"/>
    </row>
    <row r="52">
      <c r="A52" s="2" t="n">
        <v>6</v>
      </c>
      <c r="B52" s="2" t="n">
        <v>260702</v>
      </c>
      <c r="C52" s="2" t="inlineStr">
        <is>
          <t>NAV</t>
        </is>
      </c>
      <c r="D52" s="2" t="inlineStr">
        <is>
          <t>A017</t>
        </is>
      </c>
      <c r="E52" s="2" t="inlineStr">
        <is>
          <t>260702-08(NAV)-A017.txt</t>
        </is>
      </c>
      <c r="F52" s="2" t="n">
        <v>1.651540844176612</v>
      </c>
      <c r="G52" s="2" t="n">
        <v>1.785976036333084</v>
      </c>
      <c r="H52" s="2" t="n">
        <v>2.046347939557462</v>
      </c>
      <c r="I52" s="2" t="n">
        <v>1.991348701509984</v>
      </c>
      <c r="J52" s="2" t="n">
        <v>1.658534819532892</v>
      </c>
      <c r="K52" s="2" t="n">
        <v>1.533659422456776</v>
      </c>
      <c r="L52" s="2" t="n">
        <v>1.503887446985654</v>
      </c>
      <c r="M52" s="2" t="n">
        <v>1.574867081273766</v>
      </c>
      <c r="N52" s="2" t="n">
        <v>22.13</v>
      </c>
      <c r="O52" s="2" t="n"/>
      <c r="P52" s="2" t="n"/>
      <c r="Q52" s="2">
        <f>((F52- 0.00793) / 0.1333)^(1/0.6199)</f>
        <v/>
      </c>
      <c r="R52" s="2">
        <f>((H52- 0.0166) / 0.0825)^(1/0.6529)</f>
        <v/>
      </c>
      <c r="S52" s="2">
        <f>((J52- 0.06053) / 0.0561)^(1/0.507)</f>
        <v/>
      </c>
      <c r="T52" s="2" t="n"/>
      <c r="U52" s="2" t="n"/>
      <c r="V52" s="2" t="n"/>
      <c r="W52" s="2" t="n"/>
      <c r="X52" s="2" t="n"/>
      <c r="Y52" s="2" t="n"/>
      <c r="Z52" s="2" t="n"/>
    </row>
    <row r="53">
      <c r="A53" s="2" t="n">
        <v>7</v>
      </c>
      <c r="B53" s="2" t="n">
        <v>260709</v>
      </c>
      <c r="C53" s="2" t="inlineStr">
        <is>
          <t>NCF6</t>
        </is>
      </c>
      <c r="D53" s="2" t="inlineStr">
        <is>
          <t>A017</t>
        </is>
      </c>
      <c r="E53" s="2" t="inlineStr">
        <is>
          <t>260709-01(NCF6)-A017.txt</t>
        </is>
      </c>
      <c r="F53" s="2" t="n">
        <v>2.208362072203333</v>
      </c>
      <c r="G53" s="2" t="n">
        <v>2.394585108534895</v>
      </c>
      <c r="H53" s="2" t="n">
        <v>2.807081027034185</v>
      </c>
      <c r="I53" s="2" t="n">
        <v>2.819545024592557</v>
      </c>
      <c r="J53" s="2" t="n">
        <v>2.353265853077926</v>
      </c>
      <c r="K53" s="2" t="n">
        <v>2.107768947901683</v>
      </c>
      <c r="L53" s="2" t="n">
        <v>1.881072145183954</v>
      </c>
      <c r="M53" s="2" t="n">
        <v>1.748724257933225</v>
      </c>
      <c r="N53" s="2" t="n">
        <v>6.27</v>
      </c>
      <c r="O53" s="2" t="n"/>
      <c r="P53" s="2" t="n"/>
      <c r="Q53" s="2">
        <f>((F53- 0.00793) / 0.1333)^(1/0.6199)</f>
        <v/>
      </c>
      <c r="R53" s="2">
        <f>((H53- 0.0166) / 0.0825)^(1/0.6529)</f>
        <v/>
      </c>
      <c r="S53" s="2">
        <f>((J53- 0.06053) / 0.0561)^(1/0.507)</f>
        <v/>
      </c>
      <c r="T53" s="2" t="n"/>
      <c r="U53" s="2" t="n"/>
      <c r="V53" s="2" t="n"/>
      <c r="W53" s="2" t="n"/>
      <c r="X53" s="2" t="n"/>
      <c r="Y53" s="2" t="n"/>
      <c r="Z53" s="2" t="n"/>
    </row>
    <row r="54">
      <c r="A54" s="2" t="n">
        <v>7</v>
      </c>
      <c r="B54" s="2" t="n">
        <v>260709</v>
      </c>
      <c r="C54" s="2" t="inlineStr">
        <is>
          <t>NC11</t>
        </is>
      </c>
      <c r="D54" s="2" t="inlineStr">
        <is>
          <t>A017</t>
        </is>
      </c>
      <c r="E54" s="2" t="inlineStr">
        <is>
          <t>260709-02(NC11)-A017.txt</t>
        </is>
      </c>
      <c r="F54" s="2" t="n">
        <v>1.616691803104233</v>
      </c>
      <c r="G54" s="2" t="n">
        <v>1.732868295010638</v>
      </c>
      <c r="H54" s="2" t="n">
        <v>1.975836225437661</v>
      </c>
      <c r="I54" s="2" t="n">
        <v>1.962282770553862</v>
      </c>
      <c r="J54" s="2" t="n">
        <v>1.629164386341206</v>
      </c>
      <c r="K54" s="2" t="n">
        <v>1.559319236386309</v>
      </c>
      <c r="L54" s="2" t="n">
        <v>1.552402830282896</v>
      </c>
      <c r="M54" s="2" t="n">
        <v>1.578638535498394</v>
      </c>
      <c r="N54" s="2" t="n">
        <v>23.47</v>
      </c>
      <c r="O54" s="2" t="n"/>
      <c r="P54" s="2" t="n"/>
      <c r="Q54" s="2">
        <f>((F54- 0.00793) / 0.1333)^(1/0.6199)</f>
        <v/>
      </c>
      <c r="R54" s="2">
        <f>((H54- 0.0166) / 0.0825)^(1/0.6529)</f>
        <v/>
      </c>
      <c r="S54" s="2">
        <f>((J54- 0.06053) / 0.0561)^(1/0.507)</f>
        <v/>
      </c>
      <c r="T54" s="2" t="n"/>
      <c r="U54" s="2" t="n"/>
      <c r="V54" s="2" t="n"/>
      <c r="W54" s="2" t="n"/>
      <c r="X54" s="2" t="n"/>
      <c r="Y54" s="2" t="n"/>
      <c r="Z54" s="2" t="n"/>
    </row>
    <row r="55">
      <c r="A55" s="2" t="n">
        <v>7</v>
      </c>
      <c r="B55" s="2" t="n">
        <v>260709</v>
      </c>
      <c r="C55" s="2" t="inlineStr">
        <is>
          <t>ACME</t>
        </is>
      </c>
      <c r="D55" s="2" t="inlineStr">
        <is>
          <t>A017</t>
        </is>
      </c>
      <c r="E55" s="2" t="inlineStr">
        <is>
          <t>260709-03(ACME)-A017.txt</t>
        </is>
      </c>
      <c r="F55" s="2" t="n">
        <v>2.139696995146856</v>
      </c>
      <c r="G55" s="2" t="n">
        <v>2.36732110994111</v>
      </c>
      <c r="H55" s="2" t="n">
        <v>2.689217178458857</v>
      </c>
      <c r="I55" s="2" t="n">
        <v>2.69241423710718</v>
      </c>
      <c r="J55" s="2" t="n">
        <v>2.323573102004076</v>
      </c>
      <c r="K55" s="2" t="n">
        <v>2.155257965351643</v>
      </c>
      <c r="L55" s="2" t="n">
        <v>1.976452362378224</v>
      </c>
      <c r="M55" s="2" t="n">
        <v>1.976546847779098</v>
      </c>
      <c r="N55" s="2" t="n">
        <v>8.550000000000001</v>
      </c>
      <c r="O55" s="2" t="n"/>
      <c r="P55" s="2" t="n"/>
      <c r="Q55" s="2">
        <f>((F55- 0.00793) / 0.1333)^(1/0.6199)</f>
        <v/>
      </c>
      <c r="R55" s="2">
        <f>((H55- 0.0166) / 0.0825)^(1/0.6529)</f>
        <v/>
      </c>
      <c r="S55" s="2">
        <f>((J55- 0.06053) / 0.0561)^(1/0.507)</f>
        <v/>
      </c>
      <c r="T55" s="2" t="n"/>
      <c r="U55" s="2" t="n"/>
      <c r="V55" s="2" t="n"/>
      <c r="W55" s="2" t="n"/>
      <c r="X55" s="2" t="n"/>
      <c r="Y55" s="2" t="n"/>
      <c r="Z55" s="2" t="n"/>
    </row>
    <row r="56">
      <c r="A56" s="2" t="n">
        <v>7</v>
      </c>
      <c r="B56" s="2" t="n">
        <v>260709</v>
      </c>
      <c r="C56" s="2" t="inlineStr">
        <is>
          <t>DP</t>
        </is>
      </c>
      <c r="D56" s="2" t="inlineStr">
        <is>
          <t>A017</t>
        </is>
      </c>
      <c r="E56" s="2" t="inlineStr">
        <is>
          <t>260709-04(DP)-A017.txt</t>
        </is>
      </c>
      <c r="F56" s="2" t="n">
        <v>2.731966984492525</v>
      </c>
      <c r="G56" s="2" t="n">
        <v>2.7842059388833</v>
      </c>
      <c r="H56" s="2" t="n">
        <v>3.073965777359011</v>
      </c>
      <c r="I56" s="2" t="n">
        <v>3.386174434862814</v>
      </c>
      <c r="J56" s="2" t="n">
        <v>2.996410901029839</v>
      </c>
      <c r="K56" s="2" t="n">
        <v>2.764433512742753</v>
      </c>
      <c r="L56" s="2" t="n">
        <v>2.434403069852091</v>
      </c>
      <c r="M56" s="2" t="n">
        <v>2.206374359940643</v>
      </c>
      <c r="N56" s="2" t="n">
        <v>3.23</v>
      </c>
      <c r="O56" s="2" t="n"/>
      <c r="P56" s="2" t="n"/>
      <c r="Q56" s="2">
        <f>((F56- 0.00793) / 0.1333)^(1/0.6199)</f>
        <v/>
      </c>
      <c r="R56" s="2">
        <f>((H56- 0.0166) / 0.0825)^(1/0.6529)</f>
        <v/>
      </c>
      <c r="S56" s="2">
        <f>((J56- 0.06053) / 0.0561)^(1/0.507)</f>
        <v/>
      </c>
      <c r="T56" s="2" t="n"/>
      <c r="U56" s="2" t="n"/>
      <c r="V56" s="2" t="n"/>
      <c r="W56" s="2" t="n"/>
      <c r="X56" s="2" t="n"/>
      <c r="Y56" s="2" t="n"/>
      <c r="Z56" s="2" t="n"/>
    </row>
    <row r="57">
      <c r="A57" s="2" t="n">
        <v>7</v>
      </c>
      <c r="B57" s="2" t="n">
        <v>260709</v>
      </c>
      <c r="C57" s="2" t="inlineStr">
        <is>
          <t>BBT-1</t>
        </is>
      </c>
      <c r="D57" s="2" t="inlineStr">
        <is>
          <t>A017</t>
        </is>
      </c>
      <c r="E57" s="2" t="inlineStr">
        <is>
          <t>260709-05(BBT-1)-A017.txt</t>
        </is>
      </c>
      <c r="F57" s="2" t="n">
        <v>2.532287296186134</v>
      </c>
      <c r="G57" s="2" t="n">
        <v>2.330951953947631</v>
      </c>
      <c r="H57" s="2" t="n">
        <v>2.275076268575411</v>
      </c>
      <c r="I57" s="2" t="n">
        <v>3.196004554057797</v>
      </c>
      <c r="J57" s="2" t="n">
        <v>2.954012751971647</v>
      </c>
      <c r="K57" s="2" t="n">
        <v>2.652494746160276</v>
      </c>
      <c r="L57" s="2" t="n">
        <v>2.455004606416871</v>
      </c>
      <c r="M57" s="2" t="n">
        <v>2.299661887804884</v>
      </c>
      <c r="N57" s="2" t="n">
        <v>3.73</v>
      </c>
      <c r="O57" s="2" t="n"/>
      <c r="P57" s="2" t="n"/>
      <c r="Q57" s="2">
        <f>((F57- 0.00793) / 0.1333)^(1/0.6199)</f>
        <v/>
      </c>
      <c r="R57" s="2">
        <f>((H57- 0.0166) / 0.0825)^(1/0.6529)</f>
        <v/>
      </c>
      <c r="S57" s="2">
        <f>((J57- 0.06053) / 0.0561)^(1/0.507)</f>
        <v/>
      </c>
      <c r="T57" s="2" t="n"/>
      <c r="U57" s="2" t="n"/>
      <c r="V57" s="2" t="n"/>
      <c r="W57" s="2" t="n"/>
      <c r="X57" s="2" t="n"/>
      <c r="Y57" s="2" t="n"/>
      <c r="Z57" s="2" t="n"/>
    </row>
    <row r="58">
      <c r="A58" s="2" t="n">
        <v>7</v>
      </c>
      <c r="B58" s="2" t="n">
        <v>260709</v>
      </c>
      <c r="C58" s="2" t="inlineStr">
        <is>
          <t>BBT-2</t>
        </is>
      </c>
      <c r="D58" s="2" t="inlineStr">
        <is>
          <t>A017</t>
        </is>
      </c>
      <c r="E58" s="2" t="inlineStr">
        <is>
          <t>260709-05(BBT-2)-A017.txt</t>
        </is>
      </c>
      <c r="F58" s="2" t="n">
        <v>2.683764116994788</v>
      </c>
      <c r="G58" s="2" t="n">
        <v>2.791192641599451</v>
      </c>
      <c r="H58" s="2" t="n">
        <v>3.085800405116929</v>
      </c>
      <c r="I58" s="2" t="n">
        <v>3.421778808003372</v>
      </c>
      <c r="J58" s="2" t="n">
        <v>3.126468235190364</v>
      </c>
      <c r="K58" s="2" t="n">
        <v>2.850997413121628</v>
      </c>
      <c r="L58" s="2" t="n">
        <v>2.511538405697582</v>
      </c>
      <c r="M58" s="2" t="n">
        <v>2.260941195700951</v>
      </c>
      <c r="N58" s="2" t="n">
        <v>3.73</v>
      </c>
      <c r="O58" s="2" t="n"/>
      <c r="P58" s="2" t="n"/>
      <c r="Q58" s="2">
        <f>((F58- 0.00793) / 0.1333)^(1/0.6199)</f>
        <v/>
      </c>
      <c r="R58" s="2">
        <f>((H58- 0.0166) / 0.0825)^(1/0.6529)</f>
        <v/>
      </c>
      <c r="S58" s="2">
        <f>((J58- 0.06053) / 0.0561)^(1/0.507)</f>
        <v/>
      </c>
      <c r="T58" s="2" t="n"/>
      <c r="U58" s="2" t="n"/>
      <c r="V58" s="2" t="n"/>
      <c r="W58" s="2" t="n"/>
      <c r="X58" s="2" t="n"/>
      <c r="Y58" s="2" t="n"/>
      <c r="Z58" s="2" t="n"/>
    </row>
    <row r="59">
      <c r="A59" s="2" t="n">
        <v>7</v>
      </c>
      <c r="B59" s="2" t="n">
        <v>260709</v>
      </c>
      <c r="C59" s="2" t="inlineStr">
        <is>
          <t>IC</t>
        </is>
      </c>
      <c r="D59" s="2" t="inlineStr">
        <is>
          <t>A017</t>
        </is>
      </c>
      <c r="E59" s="2" t="inlineStr">
        <is>
          <t>260709-06(IC)-A017.txt</t>
        </is>
      </c>
      <c r="F59" s="2" t="n">
        <v>3.548366599630153</v>
      </c>
      <c r="G59" s="2" t="n">
        <v>3.2294495042023</v>
      </c>
      <c r="H59" s="2" t="n">
        <v>3.254647161684548</v>
      </c>
      <c r="I59" s="2" t="n">
        <v>4.296334745185296</v>
      </c>
      <c r="J59" s="2" t="n">
        <v>3.948386137272389</v>
      </c>
      <c r="K59" s="2" t="n">
        <v>3.540858450833811</v>
      </c>
      <c r="L59" s="2" t="n">
        <v>3.053078309393455</v>
      </c>
      <c r="M59" s="2" t="n">
        <v>3.000942939701685</v>
      </c>
      <c r="N59" s="2" t="n">
        <v>6.53</v>
      </c>
      <c r="O59" s="2" t="n"/>
      <c r="P59" s="2" t="n"/>
      <c r="Q59" s="2">
        <f>((F59- 0.00793) / 0.1333)^(1/0.6199)</f>
        <v/>
      </c>
      <c r="R59" s="2">
        <f>((H59- 0.0166) / 0.0825)^(1/0.6529)</f>
        <v/>
      </c>
      <c r="S59" s="2">
        <f>((J59- 0.06053) / 0.0561)^(1/0.507)</f>
        <v/>
      </c>
      <c r="T59" s="2" t="n"/>
      <c r="U59" s="2" t="n"/>
      <c r="V59" s="2" t="n"/>
      <c r="W59" s="2" t="n"/>
      <c r="X59" s="2" t="n"/>
      <c r="Y59" s="2" t="n"/>
      <c r="Z59" s="2" t="n"/>
    </row>
    <row r="60">
      <c r="A60" s="2" t="n">
        <v>8</v>
      </c>
      <c r="B60" s="2" t="n">
        <v>260716</v>
      </c>
      <c r="C60" s="2" t="inlineStr">
        <is>
          <t>M18</t>
        </is>
      </c>
      <c r="D60" s="2" t="inlineStr">
        <is>
          <t>A017</t>
        </is>
      </c>
      <c r="E60" s="2" t="inlineStr">
        <is>
          <t>260716-01(M18)-A017.txt</t>
        </is>
      </c>
      <c r="F60" s="2" t="n">
        <v>0.9640062665089508</v>
      </c>
      <c r="G60" s="2" t="n">
        <v>1.033298674912335</v>
      </c>
      <c r="H60" s="2" t="n">
        <v>0.8961609532431584</v>
      </c>
      <c r="I60" s="2" t="n">
        <v>0.7712972831468573</v>
      </c>
      <c r="J60" s="2" t="n">
        <v>0.6696495253809291</v>
      </c>
      <c r="K60" s="2" t="n">
        <v>0.7153711923058802</v>
      </c>
      <c r="L60" s="2" t="n">
        <v>0.8357260324245859</v>
      </c>
      <c r="M60" s="2" t="n">
        <v>0.9702310822896478</v>
      </c>
      <c r="N60" s="2" t="n"/>
      <c r="O60" s="2" t="n"/>
      <c r="P60" s="2" t="n"/>
      <c r="Q60" s="2">
        <f>((F60- 0.00793) / 0.1333)^(1/0.6199)</f>
        <v/>
      </c>
      <c r="R60" s="2">
        <f>((H60- 0.0166) / 0.0825)^(1/0.6529)</f>
        <v/>
      </c>
      <c r="S60" s="2">
        <f>((J60- 0.06053) / 0.0561)^(1/0.507)</f>
        <v/>
      </c>
      <c r="T60" s="2" t="n"/>
      <c r="U60" s="2" t="n"/>
      <c r="V60" s="2" t="n"/>
      <c r="W60" s="2" t="n"/>
      <c r="X60" s="2" t="n"/>
      <c r="Y60" s="2" t="n"/>
      <c r="Z60" s="2" t="n"/>
    </row>
    <row r="61">
      <c r="A61" s="2" t="n">
        <v>8</v>
      </c>
      <c r="B61" s="2" t="n">
        <v>260716</v>
      </c>
      <c r="C61" s="2" t="inlineStr">
        <is>
          <t>M23</t>
        </is>
      </c>
      <c r="D61" s="2" t="inlineStr">
        <is>
          <t>A017</t>
        </is>
      </c>
      <c r="E61" s="2" t="inlineStr">
        <is>
          <t>260716-02(M23)-A017.txt</t>
        </is>
      </c>
      <c r="F61" s="2" t="n">
        <v>0.9053599110792956</v>
      </c>
      <c r="G61" s="2" t="n">
        <v>0.9640297113549181</v>
      </c>
      <c r="H61" s="2" t="n">
        <v>0.8092872064466962</v>
      </c>
      <c r="I61" s="2" t="n">
        <v>0.6500590579194029</v>
      </c>
      <c r="J61" s="2" t="n">
        <v>0.5233008492351496</v>
      </c>
      <c r="K61" s="2" t="n">
        <v>0.5473050009509932</v>
      </c>
      <c r="L61" s="2" t="n">
        <v>0.6328320184886436</v>
      </c>
      <c r="M61" s="2" t="n">
        <v>0.7598751123343722</v>
      </c>
      <c r="N61" s="2" t="n"/>
      <c r="O61" s="2" t="n"/>
      <c r="P61" s="2" t="n"/>
      <c r="Q61" s="2">
        <f>((F61- 0.00793) / 0.1333)^(1/0.6199)</f>
        <v/>
      </c>
      <c r="R61" s="2">
        <f>((H61- 0.0166) / 0.0825)^(1/0.6529)</f>
        <v/>
      </c>
      <c r="S61" s="2">
        <f>((J61- 0.06053) / 0.0561)^(1/0.507)</f>
        <v/>
      </c>
      <c r="T61" s="2" t="n"/>
      <c r="U61" s="2" t="n"/>
      <c r="V61" s="2" t="n"/>
      <c r="W61" s="2" t="n"/>
      <c r="X61" s="2" t="n"/>
      <c r="Y61" s="2" t="n"/>
      <c r="Z61" s="2" t="n"/>
    </row>
    <row r="62">
      <c r="A62" s="2" t="n">
        <v>8</v>
      </c>
      <c r="B62" s="2" t="n">
        <v>260716</v>
      </c>
      <c r="C62" s="2" t="inlineStr">
        <is>
          <t>M35</t>
        </is>
      </c>
      <c r="D62" s="2" t="inlineStr">
        <is>
          <t>A017</t>
        </is>
      </c>
      <c r="E62" s="2" t="inlineStr">
        <is>
          <t>260716-03(M35)-A017.txt</t>
        </is>
      </c>
      <c r="F62" s="2" t="n">
        <v>0.7565435885937015</v>
      </c>
      <c r="G62" s="2" t="n">
        <v>0.9665618719744676</v>
      </c>
      <c r="H62" s="2" t="n">
        <v>0.8272877635185533</v>
      </c>
      <c r="I62" s="2" t="n">
        <v>0.6097615825002363</v>
      </c>
      <c r="J62" s="2" t="n">
        <v>0.4443636273207794</v>
      </c>
      <c r="K62" s="2" t="n">
        <v>0.4158042764227662</v>
      </c>
      <c r="L62" s="2" t="n">
        <v>0.4645092960134932</v>
      </c>
      <c r="M62" s="2" t="n">
        <v>0.5592956897837472</v>
      </c>
      <c r="N62" s="2" t="n"/>
      <c r="O62" s="2" t="n"/>
      <c r="P62" s="2" t="n"/>
      <c r="Q62" s="2">
        <f>((F62- 0.00793) / 0.1333)^(1/0.6199)</f>
        <v/>
      </c>
      <c r="R62" s="2">
        <f>((H62- 0.0166) / 0.0825)^(1/0.6529)</f>
        <v/>
      </c>
      <c r="S62" s="2">
        <f>((J62- 0.06053) / 0.0561)^(1/0.507)</f>
        <v/>
      </c>
      <c r="T62" s="2" t="n"/>
      <c r="U62" s="2" t="n"/>
      <c r="V62" s="2" t="n"/>
      <c r="W62" s="2" t="n"/>
      <c r="X62" s="2" t="n"/>
      <c r="Y62" s="2" t="n"/>
      <c r="Z62" s="2" t="n"/>
    </row>
    <row r="63">
      <c r="A63" s="2" t="n">
        <v>8</v>
      </c>
      <c r="B63" s="2" t="n">
        <v>260716</v>
      </c>
      <c r="C63" s="2" t="inlineStr">
        <is>
          <t>M54</t>
        </is>
      </c>
      <c r="D63" s="2" t="inlineStr">
        <is>
          <t>A017</t>
        </is>
      </c>
      <c r="E63" s="2" t="inlineStr">
        <is>
          <t>260716-04(M54)-A017.txt</t>
        </is>
      </c>
      <c r="F63" s="2" t="n">
        <v>1.625494116472614</v>
      </c>
      <c r="G63" s="2" t="n">
        <v>1.89252601102099</v>
      </c>
      <c r="H63" s="2" t="n">
        <v>1.985887333588673</v>
      </c>
      <c r="I63" s="2" t="n">
        <v>1.718202490916344</v>
      </c>
      <c r="J63" s="2" t="n">
        <v>1.403293995469245</v>
      </c>
      <c r="K63" s="2" t="n">
        <v>1.303834076294741</v>
      </c>
      <c r="L63" s="2" t="n">
        <v>1.323874385738067</v>
      </c>
      <c r="M63" s="2" t="n">
        <v>1.437125126163006</v>
      </c>
      <c r="N63" s="2" t="n"/>
      <c r="O63" s="2" t="n"/>
      <c r="P63" s="2" t="n"/>
      <c r="Q63" s="2">
        <f>((F63- 0.00793) / 0.1333)^(1/0.6199)</f>
        <v/>
      </c>
      <c r="R63" s="2">
        <f>((H63- 0.0166) / 0.0825)^(1/0.6529)</f>
        <v/>
      </c>
      <c r="S63" s="2">
        <f>((J63- 0.06053) / 0.0561)^(1/0.507)</f>
        <v/>
      </c>
      <c r="T63" s="2" t="n"/>
      <c r="U63" s="2" t="n"/>
      <c r="V63" s="2" t="n"/>
      <c r="W63" s="2" t="n"/>
      <c r="X63" s="2" t="n"/>
      <c r="Y63" s="2" t="n"/>
      <c r="Z63" s="2" t="n"/>
    </row>
    <row r="64">
      <c r="A64" s="2" t="n">
        <v>8</v>
      </c>
      <c r="B64" s="2" t="n">
        <v>260716</v>
      </c>
      <c r="C64" s="2" t="inlineStr">
        <is>
          <t>BRR</t>
        </is>
      </c>
      <c r="D64" s="2" t="inlineStr">
        <is>
          <t>A017</t>
        </is>
      </c>
      <c r="E64" s="2" t="inlineStr">
        <is>
          <t>260716-05(BRR)-A017.txt</t>
        </is>
      </c>
      <c r="F64" s="2" t="n">
        <v>1.824304231025716</v>
      </c>
      <c r="G64" s="2" t="n">
        <v>1.676289194593062</v>
      </c>
      <c r="H64" s="2" t="n">
        <v>2.031593565246165</v>
      </c>
      <c r="I64" s="2" t="n">
        <v>2.107638299409888</v>
      </c>
      <c r="J64" s="2" t="n">
        <v>1.820356803058271</v>
      </c>
      <c r="K64" s="2" t="n">
        <v>1.666306292038027</v>
      </c>
      <c r="L64" s="2" t="n">
        <v>1.628921802794058</v>
      </c>
      <c r="M64" s="2" t="n">
        <v>1.677271103630773</v>
      </c>
      <c r="N64" s="2" t="n"/>
      <c r="O64" s="2" t="n"/>
      <c r="P64" s="2" t="n"/>
      <c r="Q64" s="2">
        <f>((F64- 0.00793) / 0.1333)^(1/0.6199)</f>
        <v/>
      </c>
      <c r="R64" s="2">
        <f>((H64- 0.0166) / 0.0825)^(1/0.6529)</f>
        <v/>
      </c>
      <c r="S64" s="2">
        <f>((J64- 0.06053) / 0.0561)^(1/0.507)</f>
        <v/>
      </c>
      <c r="T64" s="2" t="n"/>
      <c r="U64" s="2" t="n"/>
      <c r="V64" s="2" t="n"/>
      <c r="W64" s="2" t="n"/>
      <c r="X64" s="2" t="n"/>
      <c r="Y64" s="2" t="n"/>
      <c r="Z64" s="2" t="n"/>
    </row>
    <row r="65">
      <c r="A65" s="2" t="n">
        <v>8</v>
      </c>
      <c r="B65" s="2" t="n">
        <v>260716</v>
      </c>
      <c r="C65" s="2" t="inlineStr">
        <is>
          <t>M61</t>
        </is>
      </c>
      <c r="D65" s="2" t="inlineStr">
        <is>
          <t>A017</t>
        </is>
      </c>
      <c r="E65" s="2" t="inlineStr">
        <is>
          <t>260716-06(M61)-A017.txt</t>
        </is>
      </c>
      <c r="F65" s="2" t="n">
        <v>1.69020922130079</v>
      </c>
      <c r="G65" s="2" t="n">
        <v>1.598626069612712</v>
      </c>
      <c r="H65" s="2" t="n">
        <v>1.964677862760861</v>
      </c>
      <c r="I65" s="2" t="n">
        <v>1.812882731108378</v>
      </c>
      <c r="J65" s="2" t="n">
        <v>1.486233682306348</v>
      </c>
      <c r="K65" s="2" t="n">
        <v>1.373706927154655</v>
      </c>
      <c r="L65" s="2" t="n">
        <v>1.381718371308116</v>
      </c>
      <c r="M65" s="2" t="n">
        <v>1.462564600557122</v>
      </c>
      <c r="N65" s="2" t="n"/>
      <c r="O65" s="2" t="n"/>
      <c r="P65" s="2" t="n"/>
      <c r="Q65" s="2">
        <f>((F65- 0.00793) / 0.1333)^(1/0.6199)</f>
        <v/>
      </c>
      <c r="R65" s="2">
        <f>((H65- 0.0166) / 0.0825)^(1/0.6529)</f>
        <v/>
      </c>
      <c r="S65" s="2">
        <f>((J65- 0.06053) / 0.0561)^(1/0.507)</f>
        <v/>
      </c>
      <c r="T65" s="2" t="n"/>
      <c r="U65" s="2" t="n"/>
      <c r="V65" s="2" t="n"/>
      <c r="W65" s="2" t="n"/>
      <c r="X65" s="2" t="n"/>
      <c r="Y65" s="2" t="n"/>
      <c r="Z65" s="2" t="n"/>
    </row>
    <row r="66">
      <c r="A66" s="2" t="n">
        <v>8</v>
      </c>
      <c r="B66" s="2" t="n">
        <v>260716</v>
      </c>
      <c r="C66" s="2" t="inlineStr">
        <is>
          <t>NCF6</t>
        </is>
      </c>
      <c r="D66" s="2" t="inlineStr">
        <is>
          <t>A017</t>
        </is>
      </c>
      <c r="E66" s="2" t="inlineStr">
        <is>
          <t>260716-07(NCF6)-A017.txt</t>
        </is>
      </c>
      <c r="F66" s="2" t="n">
        <v>2.150032356201928</v>
      </c>
      <c r="G66" s="2" t="n">
        <v>2.091634988864878</v>
      </c>
      <c r="H66" s="2" t="n">
        <v>2.545258350339899</v>
      </c>
      <c r="I66" s="2" t="n">
        <v>2.530099750010909</v>
      </c>
      <c r="J66" s="2" t="n">
        <v>2.215501910951464</v>
      </c>
      <c r="K66" s="2" t="n">
        <v>2.038629353877952</v>
      </c>
      <c r="L66" s="2" t="n">
        <v>1.931542872429447</v>
      </c>
      <c r="M66" s="2" t="n">
        <v>1.934077023862314</v>
      </c>
      <c r="N66" s="2" t="n"/>
      <c r="O66" s="2" t="n"/>
      <c r="P66" s="2" t="n"/>
      <c r="Q66" s="2">
        <f>((F66- 0.00793) / 0.1333)^(1/0.6199)</f>
        <v/>
      </c>
      <c r="R66" s="2">
        <f>((H66- 0.0166) / 0.0825)^(1/0.6529)</f>
        <v/>
      </c>
      <c r="S66" s="2">
        <f>((J66- 0.06053) / 0.0561)^(1/0.507)</f>
        <v/>
      </c>
      <c r="T66" s="2" t="n"/>
      <c r="U66" s="2" t="n"/>
      <c r="V66" s="2" t="n"/>
      <c r="W66" s="2" t="n"/>
      <c r="X66" s="2" t="n"/>
      <c r="Y66" s="2" t="n"/>
      <c r="Z66" s="2" t="n"/>
    </row>
    <row r="67">
      <c r="A67" s="2" t="n">
        <v>9</v>
      </c>
      <c r="B67" s="2" t="n">
        <v>260728</v>
      </c>
      <c r="C67" s="2" t="inlineStr">
        <is>
          <t>NC11</t>
        </is>
      </c>
      <c r="D67" s="2" t="inlineStr">
        <is>
          <t>A017</t>
        </is>
      </c>
      <c r="E67" s="2" t="inlineStr">
        <is>
          <t>260728-01(NC11)-A017.txt</t>
        </is>
      </c>
      <c r="F67" s="2" t="n">
        <v>2.163168821530931</v>
      </c>
      <c r="G67" s="2" t="n">
        <v>2.365857519926018</v>
      </c>
      <c r="H67" s="2" t="n">
        <v>2.638620020070563</v>
      </c>
      <c r="I67" s="2" t="n">
        <v>2.622877665485461</v>
      </c>
      <c r="J67" s="2" t="n">
        <v>2.145235752393172</v>
      </c>
      <c r="K67" s="2" t="n">
        <v>1.881714260117639</v>
      </c>
      <c r="L67" s="2" t="n">
        <v>1.674046133577445</v>
      </c>
      <c r="M67" s="2" t="n">
        <v>1.603546313062676</v>
      </c>
      <c r="N67" s="2" t="n"/>
      <c r="O67" s="2" t="n"/>
      <c r="P67" s="2" t="n"/>
      <c r="Q67" s="2">
        <f>((F67- 0.00793) / 0.1333)^(1/0.6199)</f>
        <v/>
      </c>
      <c r="R67" s="2">
        <f>((H67- 0.0166) / 0.0825)^(1/0.6529)</f>
        <v/>
      </c>
      <c r="S67" s="2">
        <f>((J67- 0.06053) / 0.0561)^(1/0.507)</f>
        <v/>
      </c>
      <c r="T67" s="2" t="n"/>
      <c r="U67" s="2" t="n"/>
      <c r="V67" s="2" t="n"/>
      <c r="W67" s="2" t="n"/>
      <c r="X67" s="2" t="n"/>
      <c r="Y67" s="2" t="n"/>
      <c r="Z67" s="2" t="n"/>
    </row>
    <row r="68">
      <c r="A68" s="2" t="n">
        <v>9</v>
      </c>
      <c r="B68" s="2" t="n">
        <v>260728</v>
      </c>
      <c r="C68" s="2" t="inlineStr">
        <is>
          <t>ACME-1</t>
        </is>
      </c>
      <c r="D68" s="2" t="inlineStr">
        <is>
          <t>A017</t>
        </is>
      </c>
      <c r="E68" s="2" t="inlineStr">
        <is>
          <t>260728-02(ACME-1)-A017.txt</t>
        </is>
      </c>
      <c r="F68" s="2" t="n">
        <v>1.344527809511312</v>
      </c>
      <c r="G68" s="2" t="n">
        <v>1.436909370248549</v>
      </c>
      <c r="H68" s="2" t="n">
        <v>1.764590182681447</v>
      </c>
      <c r="I68" s="2" t="n">
        <v>1.86400904217772</v>
      </c>
      <c r="J68" s="2" t="n">
        <v>1.489357883917997</v>
      </c>
      <c r="K68" s="2" t="n">
        <v>1.291796387409878</v>
      </c>
      <c r="L68" s="2" t="n">
        <v>1.145559276037941</v>
      </c>
      <c r="M68" s="2" t="n">
        <v>1.093738841095265</v>
      </c>
      <c r="N68" s="2" t="n"/>
      <c r="O68" s="2" t="n"/>
      <c r="P68" s="2" t="n"/>
      <c r="Q68" s="2">
        <f>((F68- 0.00793) / 0.1333)^(1/0.6199)</f>
        <v/>
      </c>
      <c r="R68" s="2">
        <f>((H68- 0.0166) / 0.0825)^(1/0.6529)</f>
        <v/>
      </c>
      <c r="S68" s="2">
        <f>((J68- 0.06053) / 0.0561)^(1/0.507)</f>
        <v/>
      </c>
      <c r="T68" s="2" t="n"/>
      <c r="U68" s="2" t="n"/>
      <c r="V68" s="2" t="n"/>
      <c r="W68" s="2" t="n"/>
      <c r="X68" s="2" t="n"/>
      <c r="Y68" s="2" t="n"/>
      <c r="Z68" s="2" t="n"/>
    </row>
    <row r="69">
      <c r="A69" s="2" t="n">
        <v>9</v>
      </c>
      <c r="B69" s="2" t="n">
        <v>260728</v>
      </c>
      <c r="C69" s="2" t="inlineStr">
        <is>
          <t>ACME-2</t>
        </is>
      </c>
      <c r="D69" s="2" t="inlineStr">
        <is>
          <t>A017</t>
        </is>
      </c>
      <c r="E69" s="2" t="inlineStr">
        <is>
          <t>260728-02(ACME-2)-A017.txt</t>
        </is>
      </c>
      <c r="F69" s="2" t="n">
        <v>1.66949638718656</v>
      </c>
      <c r="G69" s="2" t="n">
        <v>1.807008103263471</v>
      </c>
      <c r="H69" s="2" t="n">
        <v>2.117810020608656</v>
      </c>
      <c r="I69" s="2" t="n">
        <v>2.164226492878037</v>
      </c>
      <c r="J69" s="2" t="n">
        <v>1.791261579389663</v>
      </c>
      <c r="K69" s="2" t="n">
        <v>1.605344912574181</v>
      </c>
      <c r="L69" s="2" t="n">
        <v>1.468727023496849</v>
      </c>
      <c r="M69" s="2" t="n">
        <v>1.468167323960668</v>
      </c>
      <c r="N69" s="2" t="n"/>
      <c r="O69" s="2" t="n"/>
      <c r="P69" s="2" t="n"/>
      <c r="Q69" s="2">
        <f>((F69- 0.00793) / 0.1333)^(1/0.6199)</f>
        <v/>
      </c>
      <c r="R69" s="2">
        <f>((H69- 0.0166) / 0.0825)^(1/0.6529)</f>
        <v/>
      </c>
      <c r="S69" s="2">
        <f>((J69- 0.06053) / 0.0561)^(1/0.507)</f>
        <v/>
      </c>
      <c r="T69" s="2" t="n"/>
      <c r="U69" s="2" t="n"/>
      <c r="V69" s="2" t="n"/>
      <c r="W69" s="2" t="n"/>
      <c r="X69" s="2" t="n"/>
      <c r="Y69" s="2" t="n"/>
      <c r="Z69" s="2" t="n"/>
    </row>
    <row r="70">
      <c r="A70" s="2" t="n">
        <v>9</v>
      </c>
      <c r="B70" s="2" t="n">
        <v>260728</v>
      </c>
      <c r="C70" s="2" t="inlineStr">
        <is>
          <t>DP</t>
        </is>
      </c>
      <c r="D70" s="2" t="inlineStr">
        <is>
          <t>A017</t>
        </is>
      </c>
      <c r="E70" s="2" t="inlineStr">
        <is>
          <t>260728-03(DP)-A017.txt</t>
        </is>
      </c>
      <c r="F70" s="2" t="n">
        <v>1.443362389116231</v>
      </c>
      <c r="G70" s="2" t="n">
        <v>1.50695430068349</v>
      </c>
      <c r="H70" s="2" t="n">
        <v>1.791183541303778</v>
      </c>
      <c r="I70" s="2" t="n">
        <v>1.793820741664243</v>
      </c>
      <c r="J70" s="2" t="n">
        <v>1.469594364993707</v>
      </c>
      <c r="K70" s="2" t="n">
        <v>1.333402249899394</v>
      </c>
      <c r="L70" s="2" t="n">
        <v>1.283623383610814</v>
      </c>
      <c r="M70" s="2" t="n">
        <v>1.31435951326926</v>
      </c>
      <c r="N70" s="2" t="n"/>
      <c r="O70" s="2" t="n"/>
      <c r="P70" s="2" t="n"/>
      <c r="Q70" s="2">
        <f>((F70- 0.00793) / 0.1333)^(1/0.6199)</f>
        <v/>
      </c>
      <c r="R70" s="2">
        <f>((H70- 0.0166) / 0.0825)^(1/0.6529)</f>
        <v/>
      </c>
      <c r="S70" s="2">
        <f>((J70- 0.06053) / 0.0561)^(1/0.507)</f>
        <v/>
      </c>
      <c r="T70" s="2" t="n"/>
      <c r="U70" s="2" t="n"/>
      <c r="V70" s="2" t="n"/>
      <c r="W70" s="2" t="n"/>
      <c r="X70" s="2" t="n"/>
      <c r="Y70" s="2" t="n"/>
      <c r="Z70" s="2" t="n"/>
    </row>
    <row r="71">
      <c r="A71" s="2" t="n">
        <v>9</v>
      </c>
      <c r="B71" s="2" t="n">
        <v>260728</v>
      </c>
      <c r="C71" s="2" t="inlineStr">
        <is>
          <t>BBT</t>
        </is>
      </c>
      <c r="D71" s="2" t="inlineStr">
        <is>
          <t>A017</t>
        </is>
      </c>
      <c r="E71" s="2" t="inlineStr">
        <is>
          <t>260728-04(BBT)-A017.txt</t>
        </is>
      </c>
      <c r="F71" s="2" t="n">
        <v>1.401058490844655</v>
      </c>
      <c r="G71" s="2" t="n">
        <v>1.494330842102749</v>
      </c>
      <c r="H71" s="2" t="n">
        <v>1.762638081975132</v>
      </c>
      <c r="I71" s="2" t="n">
        <v>1.800853133961071</v>
      </c>
      <c r="J71" s="2" t="n">
        <v>1.460678952634404</v>
      </c>
      <c r="K71" s="2" t="n">
        <v>1.332535997879101</v>
      </c>
      <c r="L71" s="2" t="n">
        <v>1.261958830260771</v>
      </c>
      <c r="M71" s="2" t="n">
        <v>1.261175397806301</v>
      </c>
      <c r="N71" s="2" t="n"/>
      <c r="O71" s="2" t="n"/>
      <c r="P71" s="2" t="n"/>
      <c r="Q71" s="2">
        <f>((F71- 0.00793) / 0.1333)^(1/0.6199)</f>
        <v/>
      </c>
      <c r="R71" s="2">
        <f>((H71- 0.0166) / 0.0825)^(1/0.6529)</f>
        <v/>
      </c>
      <c r="S71" s="2">
        <f>((J71- 0.06053) / 0.0561)^(1/0.507)</f>
        <v/>
      </c>
      <c r="T71" s="2" t="n"/>
      <c r="U71" s="2" t="n"/>
      <c r="V71" s="2" t="n"/>
      <c r="W71" s="2" t="n"/>
      <c r="X71" s="2" t="n"/>
      <c r="Y71" s="2" t="n"/>
      <c r="Z71" s="2" t="n"/>
    </row>
    <row r="72">
      <c r="A72" s="2" t="n">
        <v>9</v>
      </c>
      <c r="B72" s="2" t="n">
        <v>260728</v>
      </c>
      <c r="C72" s="2" t="inlineStr">
        <is>
          <t>IC</t>
        </is>
      </c>
      <c r="D72" s="2" t="inlineStr">
        <is>
          <t>A017</t>
        </is>
      </c>
      <c r="E72" s="2" t="inlineStr">
        <is>
          <t>260728-05(IC)-A017.txt</t>
        </is>
      </c>
      <c r="F72" s="2" t="n">
        <v>1.874529881397723</v>
      </c>
      <c r="G72" s="2" t="n">
        <v>2.115251574415772</v>
      </c>
      <c r="H72" s="2" t="n">
        <v>2.381877226454741</v>
      </c>
      <c r="I72" s="2" t="n">
        <v>2.180235136559129</v>
      </c>
      <c r="J72" s="2" t="n">
        <v>1.780146630822194</v>
      </c>
      <c r="K72" s="2" t="n">
        <v>1.623134656414518</v>
      </c>
      <c r="L72" s="2" t="n">
        <v>1.538837663620175</v>
      </c>
      <c r="M72" s="2" t="n">
        <v>1.559251413296556</v>
      </c>
      <c r="N72" s="2" t="n"/>
      <c r="O72" s="2" t="n"/>
      <c r="P72" s="2" t="n"/>
      <c r="Q72" s="2">
        <f>((F72- 0.00793) / 0.1333)^(1/0.6199)</f>
        <v/>
      </c>
      <c r="R72" s="2">
        <f>((H72- 0.0166) / 0.0825)^(1/0.6529)</f>
        <v/>
      </c>
      <c r="S72" s="2">
        <f>((J72- 0.06053) / 0.0561)^(1/0.507)</f>
        <v/>
      </c>
      <c r="T72" s="2" t="n"/>
      <c r="U72" s="2" t="n"/>
      <c r="V72" s="2" t="n"/>
      <c r="W72" s="2" t="n"/>
      <c r="X72" s="2" t="n"/>
      <c r="Y72" s="2" t="n"/>
      <c r="Z72" s="2" t="n"/>
    </row>
    <row r="73">
      <c r="A73" s="2" t="n">
        <v>9</v>
      </c>
      <c r="B73" s="2" t="n">
        <v>260728</v>
      </c>
      <c r="C73" s="2" t="inlineStr">
        <is>
          <t>NAV-1</t>
        </is>
      </c>
      <c r="D73" s="2" t="inlineStr">
        <is>
          <t>A017</t>
        </is>
      </c>
      <c r="E73" s="2" t="inlineStr">
        <is>
          <t>260728-06(NAV-1)-A017.txt</t>
        </is>
      </c>
      <c r="F73" s="2" t="n">
        <v>2.833920041490392</v>
      </c>
      <c r="G73" s="2" t="n">
        <v>2.997174554376673</v>
      </c>
      <c r="H73" s="2" t="n">
        <v>3.400546174287615</v>
      </c>
      <c r="I73" s="2" t="n">
        <v>3.377509444877003</v>
      </c>
      <c r="J73" s="2" t="n">
        <v>2.895390777056616</v>
      </c>
      <c r="K73" s="2" t="n">
        <v>2.673669153517038</v>
      </c>
      <c r="L73" s="2" t="n">
        <v>2.470932343770461</v>
      </c>
      <c r="M73" s="2" t="n">
        <v>2.404629428890523</v>
      </c>
      <c r="N73" s="2" t="n"/>
      <c r="O73" s="2" t="n"/>
      <c r="P73" s="2" t="n"/>
      <c r="Q73" s="2">
        <f>((F73- 0.00793) / 0.1333)^(1/0.6199)</f>
        <v/>
      </c>
      <c r="R73" s="2">
        <f>((H73- 0.0166) / 0.0825)^(1/0.6529)</f>
        <v/>
      </c>
      <c r="S73" s="2">
        <f>((J73- 0.06053) / 0.0561)^(1/0.507)</f>
        <v/>
      </c>
      <c r="T73" s="2" t="n"/>
      <c r="U73" s="2" t="n"/>
      <c r="V73" s="2" t="n"/>
      <c r="W73" s="2" t="n"/>
      <c r="X73" s="2" t="n"/>
      <c r="Y73" s="2" t="n"/>
      <c r="Z73" s="2" t="n"/>
    </row>
    <row r="74">
      <c r="A74" s="2" t="n">
        <v>9</v>
      </c>
      <c r="B74" s="2" t="n">
        <v>260728</v>
      </c>
      <c r="C74" s="2" t="inlineStr">
        <is>
          <t>NAV-2</t>
        </is>
      </c>
      <c r="D74" s="2" t="inlineStr">
        <is>
          <t>A017</t>
        </is>
      </c>
      <c r="E74" s="2" t="inlineStr">
        <is>
          <t>260728-06(NAV-2)-A017.txt</t>
        </is>
      </c>
      <c r="F74" s="2" t="n">
        <v>3.259228035605837</v>
      </c>
      <c r="G74" s="2" t="n">
        <v>3.613565424385741</v>
      </c>
      <c r="H74" s="2" t="n">
        <v>3.965535519439788</v>
      </c>
      <c r="I74" s="2" t="n">
        <v>3.746993496809785</v>
      </c>
      <c r="J74" s="2" t="n">
        <v>3.230992793543302</v>
      </c>
      <c r="K74" s="2" t="n">
        <v>2.954614745901766</v>
      </c>
      <c r="L74" s="2" t="n">
        <v>2.715573041293582</v>
      </c>
      <c r="M74" s="2" t="n">
        <v>2.588431883166063</v>
      </c>
      <c r="N74" s="2" t="n"/>
      <c r="O74" s="2" t="n"/>
      <c r="P74" s="2" t="n"/>
      <c r="Q74" s="2">
        <f>((F74- 0.00793) / 0.1333)^(1/0.6199)</f>
        <v/>
      </c>
      <c r="R74" s="2">
        <f>((H74- 0.0166) / 0.0825)^(1/0.6529)</f>
        <v/>
      </c>
      <c r="S74" s="2">
        <f>((J74- 0.06053) / 0.0561)^(1/0.507)</f>
        <v/>
      </c>
      <c r="T74" s="2" t="n"/>
      <c r="U74" s="2" t="n"/>
      <c r="V74" s="2" t="n"/>
      <c r="W74" s="2" t="n"/>
      <c r="X74" s="2" t="n"/>
      <c r="Y74" s="2" t="n"/>
      <c r="Z74" s="2" t="n"/>
    </row>
    <row r="75">
      <c r="A75" s="2" t="n">
        <v>9</v>
      </c>
      <c r="B75" s="2" t="n">
        <v>260728</v>
      </c>
      <c r="C75" s="2" t="inlineStr">
        <is>
          <t>HB</t>
        </is>
      </c>
      <c r="D75" s="2" t="inlineStr">
        <is>
          <t>A017</t>
        </is>
      </c>
      <c r="E75" s="2" t="inlineStr">
        <is>
          <t>260728-07(HB)-A017.txt</t>
        </is>
      </c>
      <c r="F75" s="2" t="n">
        <v>2.942810502022436</v>
      </c>
      <c r="G75" s="2" t="n">
        <v>3.124376579078325</v>
      </c>
      <c r="H75" s="2" t="n">
        <v>3.542138848868707</v>
      </c>
      <c r="I75" s="2" t="n">
        <v>3.453630093902525</v>
      </c>
      <c r="J75" s="2" t="n">
        <v>2.971801544068677</v>
      </c>
      <c r="K75" s="2" t="n">
        <v>2.747157680477553</v>
      </c>
      <c r="L75" s="2" t="n">
        <v>2.548038175094992</v>
      </c>
      <c r="M75" s="2" t="n">
        <v>2.483068018201027</v>
      </c>
      <c r="N75" s="2" t="n"/>
      <c r="O75" s="2" t="n"/>
      <c r="P75" s="2" t="n"/>
      <c r="Q75" s="2">
        <f>((F75- 0.00793) / 0.1333)^(1/0.6199)</f>
        <v/>
      </c>
      <c r="R75" s="2">
        <f>((H75- 0.0166) / 0.0825)^(1/0.6529)</f>
        <v/>
      </c>
      <c r="S75" s="2">
        <f>((J75- 0.06053) / 0.0561)^(1/0.507)</f>
        <v/>
      </c>
      <c r="T75" s="2" t="n"/>
      <c r="U75" s="2" t="n"/>
      <c r="V75" s="2" t="n"/>
      <c r="W75" s="2" t="n"/>
      <c r="X75" s="2" t="n"/>
      <c r="Y75" s="2" t="n"/>
      <c r="Z75" s="2" t="n"/>
    </row>
    <row r="76">
      <c r="A76" s="2" t="n">
        <v>10</v>
      </c>
      <c r="B76" s="2" t="n">
        <v>260805</v>
      </c>
      <c r="C76" s="2" t="inlineStr">
        <is>
          <t>M18</t>
        </is>
      </c>
      <c r="D76" s="2" t="inlineStr">
        <is>
          <t>A017</t>
        </is>
      </c>
      <c r="E76" s="2" t="inlineStr">
        <is>
          <t>260805-01(M18)-A017.txt</t>
        </is>
      </c>
      <c r="F76" s="2" t="n">
        <v>1.523629884330794</v>
      </c>
      <c r="G76" s="2" t="n">
        <v>1.612005155847543</v>
      </c>
      <c r="H76" s="2" t="n">
        <v>1.318089417248696</v>
      </c>
      <c r="I76" s="2" t="n">
        <v>1.042692949895146</v>
      </c>
      <c r="J76" s="2" t="n">
        <v>0.8194789951575092</v>
      </c>
      <c r="K76" s="2" t="n">
        <v>0.8147194364768278</v>
      </c>
      <c r="L76" s="2" t="n">
        <v>0.8636156346183322</v>
      </c>
      <c r="M76" s="2" t="n">
        <v>1.008123873116189</v>
      </c>
      <c r="N76" s="2" t="n">
        <v>6.77</v>
      </c>
      <c r="O76" s="2" t="n"/>
      <c r="P76" s="2" t="n"/>
      <c r="Q76" s="2">
        <f>((F76- 0.00793) / 0.1333)^(1/0.6199)</f>
        <v/>
      </c>
      <c r="R76" s="2">
        <f>((H76- 0.0166) / 0.0825)^(1/0.6529)</f>
        <v/>
      </c>
      <c r="S76" s="2">
        <f>((J76- 0.06053) / 0.0561)^(1/0.507)</f>
        <v/>
      </c>
      <c r="T76" s="2" t="n"/>
      <c r="U76" s="2" t="n"/>
      <c r="V76" s="2" t="n"/>
      <c r="W76" s="2" t="n"/>
      <c r="X76" s="2" t="n"/>
      <c r="Y76" s="2" t="n"/>
      <c r="Z76" s="2" t="n"/>
    </row>
    <row r="77">
      <c r="A77" s="2" t="n">
        <v>10</v>
      </c>
      <c r="B77" s="2" t="n">
        <v>260805</v>
      </c>
      <c r="C77" s="2" t="inlineStr">
        <is>
          <t>M23</t>
        </is>
      </c>
      <c r="D77" s="2" t="inlineStr">
        <is>
          <t>A017</t>
        </is>
      </c>
      <c r="E77" s="2" t="inlineStr">
        <is>
          <t>260805-02(M23)-A017.txt</t>
        </is>
      </c>
      <c r="F77" s="2" t="n">
        <v>1.255910523135367</v>
      </c>
      <c r="G77" s="2" t="n">
        <v>1.479760284928825</v>
      </c>
      <c r="H77" s="2" t="n">
        <v>1.386732717826738</v>
      </c>
      <c r="I77" s="2" t="n">
        <v>1.140909819949991</v>
      </c>
      <c r="J77" s="2" t="n">
        <v>0.9334557304004201</v>
      </c>
      <c r="K77" s="2" t="n">
        <v>0.9102258546142052</v>
      </c>
      <c r="L77" s="2" t="n">
        <v>0.9722314049802632</v>
      </c>
      <c r="M77" s="2" t="n">
        <v>1.083021581615536</v>
      </c>
      <c r="N77" s="2" t="n">
        <v>6.25</v>
      </c>
      <c r="O77" s="2" t="n"/>
      <c r="P77" s="2" t="n"/>
      <c r="Q77" s="2">
        <f>((F77- 0.00793) / 0.1333)^(1/0.6199)</f>
        <v/>
      </c>
      <c r="R77" s="2">
        <f>((H77- 0.0166) / 0.0825)^(1/0.6529)</f>
        <v/>
      </c>
      <c r="S77" s="2">
        <f>((J77- 0.06053) / 0.0561)^(1/0.507)</f>
        <v/>
      </c>
      <c r="T77" s="2" t="n"/>
      <c r="U77" s="2" t="n"/>
      <c r="V77" s="2" t="n"/>
      <c r="W77" s="2" t="n"/>
      <c r="X77" s="2" t="n"/>
      <c r="Y77" s="2" t="n"/>
      <c r="Z77" s="2" t="n"/>
    </row>
    <row r="78">
      <c r="A78" s="2" t="n">
        <v>10</v>
      </c>
      <c r="B78" s="2" t="n">
        <v>260805</v>
      </c>
      <c r="C78" s="2" t="inlineStr">
        <is>
          <t>M35</t>
        </is>
      </c>
      <c r="D78" s="2" t="inlineStr">
        <is>
          <t>A017</t>
        </is>
      </c>
      <c r="E78" s="2" t="inlineStr">
        <is>
          <t>260805-03(M35)-A017.txt</t>
        </is>
      </c>
      <c r="F78" s="2" t="n">
        <v>1.657783653162279</v>
      </c>
      <c r="G78" s="2" t="n">
        <v>1.954870848105958</v>
      </c>
      <c r="H78" s="2" t="n">
        <v>2.12709988098102</v>
      </c>
      <c r="I78" s="2" t="n">
        <v>1.828262342686459</v>
      </c>
      <c r="J78" s="2" t="n">
        <v>1.46709709015369</v>
      </c>
      <c r="K78" s="2" t="n">
        <v>1.345273106167661</v>
      </c>
      <c r="L78" s="2" t="n">
        <v>1.323991289450344</v>
      </c>
      <c r="M78" s="2" t="n">
        <v>1.400635900754649</v>
      </c>
      <c r="N78" s="2" t="n">
        <v>10.51</v>
      </c>
      <c r="O78" s="2" t="n"/>
      <c r="P78" s="2" t="n"/>
      <c r="Q78" s="2">
        <f>((F78- 0.00793) / 0.1333)^(1/0.6199)</f>
        <v/>
      </c>
      <c r="R78" s="2">
        <f>((H78- 0.0166) / 0.0825)^(1/0.6529)</f>
        <v/>
      </c>
      <c r="S78" s="2">
        <f>((J78- 0.06053) / 0.0561)^(1/0.507)</f>
        <v/>
      </c>
      <c r="T78" s="2" t="n"/>
      <c r="U78" s="2" t="n"/>
      <c r="V78" s="2" t="n"/>
      <c r="W78" s="2" t="n"/>
      <c r="X78" s="2" t="n"/>
      <c r="Y78" s="2" t="n"/>
      <c r="Z78" s="2" t="n"/>
    </row>
    <row r="79">
      <c r="A79" s="2" t="n">
        <v>10</v>
      </c>
      <c r="B79" s="2" t="n">
        <v>260805</v>
      </c>
      <c r="C79" s="2" t="inlineStr">
        <is>
          <t>M54</t>
        </is>
      </c>
      <c r="D79" s="2" t="inlineStr">
        <is>
          <t>A017</t>
        </is>
      </c>
      <c r="E79" s="2" t="inlineStr">
        <is>
          <t>260805-04(M54)-A017.txt</t>
        </is>
      </c>
      <c r="F79" s="2" t="n">
        <v>1.815734156396727</v>
      </c>
      <c r="G79" s="2" t="n">
        <v>1.941413171239273</v>
      </c>
      <c r="H79" s="2" t="n">
        <v>2.266681114673379</v>
      </c>
      <c r="I79" s="2" t="n">
        <v>2.207492347123758</v>
      </c>
      <c r="J79" s="2" t="n">
        <v>1.790699808936656</v>
      </c>
      <c r="K79" s="2" t="n">
        <v>1.621654401435143</v>
      </c>
      <c r="L79" s="2" t="n">
        <v>1.497186891882606</v>
      </c>
      <c r="M79" s="2" t="n">
        <v>1.490460138473229</v>
      </c>
      <c r="N79" s="2" t="n">
        <v>6.83</v>
      </c>
      <c r="O79" s="2" t="n"/>
      <c r="P79" s="2" t="n"/>
      <c r="Q79" s="2">
        <f>((F79- 0.00793) / 0.1333)^(1/0.6199)</f>
        <v/>
      </c>
      <c r="R79" s="2">
        <f>((H79- 0.0166) / 0.0825)^(1/0.6529)</f>
        <v/>
      </c>
      <c r="S79" s="2">
        <f>((J79- 0.06053) / 0.0561)^(1/0.507)</f>
        <v/>
      </c>
      <c r="T79" s="2" t="n"/>
      <c r="U79" s="2" t="n"/>
      <c r="V79" s="2" t="n"/>
      <c r="W79" s="2" t="n"/>
      <c r="X79" s="2" t="n"/>
      <c r="Y79" s="2" t="n"/>
      <c r="Z79" s="2" t="n"/>
    </row>
    <row r="80">
      <c r="A80" s="2" t="n">
        <v>10</v>
      </c>
      <c r="B80" s="2" t="n">
        <v>260805</v>
      </c>
      <c r="C80" s="2" t="inlineStr">
        <is>
          <t>BRR</t>
        </is>
      </c>
      <c r="D80" s="2" t="inlineStr">
        <is>
          <t>A017</t>
        </is>
      </c>
      <c r="E80" s="2" t="inlineStr">
        <is>
          <t>260805-05(BRR)-A017.txt</t>
        </is>
      </c>
      <c r="F80" s="2" t="n">
        <v>2.28295497824335</v>
      </c>
      <c r="G80" s="2" t="n">
        <v>2.267099091487718</v>
      </c>
      <c r="H80" s="2" t="n">
        <v>2.660207753076441</v>
      </c>
      <c r="I80" s="2" t="n">
        <v>2.904750630551769</v>
      </c>
      <c r="J80" s="2" t="n">
        <v>2.485928049929294</v>
      </c>
      <c r="K80" s="2" t="n">
        <v>2.226896931641641</v>
      </c>
      <c r="L80" s="2" t="n">
        <v>1.922411643962254</v>
      </c>
      <c r="M80" s="2" t="n">
        <v>1.790885749740011</v>
      </c>
      <c r="N80" s="2" t="n">
        <v>9.210000000000001</v>
      </c>
      <c r="O80" s="2" t="n"/>
      <c r="P80" s="2" t="n"/>
      <c r="Q80" s="2">
        <f>((F80- 0.00793) / 0.1333)^(1/0.6199)</f>
        <v/>
      </c>
      <c r="R80" s="2">
        <f>((H80- 0.0166) / 0.0825)^(1/0.6529)</f>
        <v/>
      </c>
      <c r="S80" s="2">
        <f>((J80- 0.06053) / 0.0561)^(1/0.507)</f>
        <v/>
      </c>
      <c r="T80" s="2" t="n"/>
      <c r="U80" s="2" t="n"/>
      <c r="V80" s="2" t="n"/>
      <c r="W80" s="2" t="n"/>
      <c r="X80" s="2" t="n"/>
      <c r="Y80" s="2" t="n"/>
      <c r="Z80" s="2" t="n"/>
    </row>
    <row r="81">
      <c r="A81" s="2" t="n">
        <v>10</v>
      </c>
      <c r="B81" s="2" t="n">
        <v>260805</v>
      </c>
      <c r="C81" s="2" t="inlineStr">
        <is>
          <t>NAV-1</t>
        </is>
      </c>
      <c r="D81" s="2" t="inlineStr">
        <is>
          <t>A017</t>
        </is>
      </c>
      <c r="E81" s="2" t="inlineStr">
        <is>
          <t>260805-06(NAV-1)-A017.txt</t>
        </is>
      </c>
      <c r="F81" s="2" t="n">
        <v>3.082835048724779</v>
      </c>
      <c r="G81" s="2" t="n">
        <v>3.075404252298173</v>
      </c>
      <c r="H81" s="2" t="n">
        <v>3.567595522803018</v>
      </c>
      <c r="I81" s="2" t="n">
        <v>3.869833048925162</v>
      </c>
      <c r="J81" s="2" t="n">
        <v>3.43608187615017</v>
      </c>
      <c r="K81" s="2" t="n">
        <v>3.124146714911251</v>
      </c>
      <c r="L81" s="2" t="n">
        <v>2.616503057359656</v>
      </c>
      <c r="M81" s="2" t="n">
        <v>2.355717599043565</v>
      </c>
      <c r="N81" s="2" t="n">
        <v>2.75</v>
      </c>
      <c r="O81" s="2" t="n"/>
      <c r="P81" s="2" t="n"/>
      <c r="Q81" s="2">
        <f>((F81- 0.00793) / 0.1333)^(1/0.6199)</f>
        <v/>
      </c>
      <c r="R81" s="2">
        <f>((H81- 0.0166) / 0.0825)^(1/0.6529)</f>
        <v/>
      </c>
      <c r="S81" s="2">
        <f>((J81- 0.06053) / 0.0561)^(1/0.507)</f>
        <v/>
      </c>
      <c r="T81" s="2" t="n"/>
      <c r="U81" s="2" t="n"/>
      <c r="V81" s="2" t="n"/>
      <c r="W81" s="2" t="n"/>
      <c r="X81" s="2" t="n"/>
      <c r="Y81" s="2" t="n"/>
      <c r="Z81" s="2" t="n"/>
    </row>
    <row r="82">
      <c r="A82" s="2" t="n">
        <v>10</v>
      </c>
      <c r="B82" s="2" t="n">
        <v>260805</v>
      </c>
      <c r="C82" s="2" t="inlineStr">
        <is>
          <t>NAV-2</t>
        </is>
      </c>
      <c r="D82" s="2" t="inlineStr">
        <is>
          <t>A017</t>
        </is>
      </c>
      <c r="E82" s="2" t="inlineStr">
        <is>
          <t>260805-06(NAV-2)-A017.txt</t>
        </is>
      </c>
      <c r="F82" s="2" t="n">
        <v>2.900546757907236</v>
      </c>
      <c r="G82" s="2" t="n">
        <v>2.945498705883267</v>
      </c>
      <c r="H82" s="2" t="n">
        <v>3.390581326658863</v>
      </c>
      <c r="I82" s="2" t="n">
        <v>3.653071529385569</v>
      </c>
      <c r="J82" s="2" t="n">
        <v>3.335332876617042</v>
      </c>
      <c r="K82" s="2" t="n">
        <v>3.018525116426249</v>
      </c>
      <c r="L82" s="2" t="n">
        <v>2.606791964341046</v>
      </c>
      <c r="M82" s="2" t="n">
        <v>2.355740224316193</v>
      </c>
      <c r="N82" s="2" t="n">
        <v>2.75</v>
      </c>
      <c r="O82" s="2" t="n"/>
      <c r="P82" s="2" t="n"/>
      <c r="Q82" s="2">
        <f>((F82- 0.00793) / 0.1333)^(1/0.6199)</f>
        <v/>
      </c>
      <c r="R82" s="2">
        <f>((H82- 0.0166) / 0.0825)^(1/0.6529)</f>
        <v/>
      </c>
      <c r="S82" s="2">
        <f>((J82- 0.06053) / 0.0561)^(1/0.507)</f>
        <v/>
      </c>
      <c r="T82" s="2" t="n"/>
      <c r="U82" s="2" t="n"/>
      <c r="V82" s="2" t="n"/>
      <c r="W82" s="2" t="n"/>
      <c r="X82" s="2" t="n"/>
      <c r="Y82" s="2" t="n"/>
      <c r="Z82" s="2" t="n"/>
    </row>
    <row r="83">
      <c r="A83" s="2" t="n">
        <v>10</v>
      </c>
      <c r="B83" s="2" t="n">
        <v>260805</v>
      </c>
      <c r="C83" s="2" t="inlineStr">
        <is>
          <t>HB</t>
        </is>
      </c>
      <c r="D83" s="2" t="inlineStr">
        <is>
          <t>A017</t>
        </is>
      </c>
      <c r="E83" s="2" t="inlineStr">
        <is>
          <t>260805-07(HB)-A017.txt</t>
        </is>
      </c>
      <c r="F83" s="2" t="n">
        <v>2.398967067605803</v>
      </c>
      <c r="G83" s="2" t="n">
        <v>2.402965203042253</v>
      </c>
      <c r="H83" s="2" t="n">
        <v>2.858141059740234</v>
      </c>
      <c r="I83" s="2" t="n">
        <v>3.138215549424467</v>
      </c>
      <c r="J83" s="2" t="n">
        <v>2.664291368548195</v>
      </c>
      <c r="K83" s="2" t="n">
        <v>2.367247796026623</v>
      </c>
      <c r="L83" s="2" t="n">
        <v>1.981025188761957</v>
      </c>
      <c r="M83" s="2" t="n">
        <v>1.751052290902767</v>
      </c>
      <c r="N83" s="2" t="n">
        <v>5.84</v>
      </c>
      <c r="O83" s="2" t="n"/>
      <c r="P83" s="2" t="n"/>
      <c r="Q83" s="2">
        <f>((F83- 0.00793) / 0.1333)^(1/0.6199)</f>
        <v/>
      </c>
      <c r="R83" s="2">
        <f>((H83- 0.0166) / 0.0825)^(1/0.6529)</f>
        <v/>
      </c>
      <c r="S83" s="2">
        <f>((J83- 0.06053) / 0.0561)^(1/0.507)</f>
        <v/>
      </c>
      <c r="T83" s="2" t="n"/>
      <c r="U83" s="2" t="n"/>
      <c r="V83" s="2" t="n"/>
      <c r="W83" s="2" t="n"/>
      <c r="X83" s="2" t="n"/>
      <c r="Y83" s="2" t="n"/>
      <c r="Z83" s="2" t="n"/>
    </row>
    <row r="84">
      <c r="A84" s="2" t="n">
        <v>10</v>
      </c>
      <c r="B84" s="2" t="n">
        <v>260805</v>
      </c>
      <c r="C84" s="2" t="inlineStr">
        <is>
          <t>M61</t>
        </is>
      </c>
      <c r="D84" s="2" t="inlineStr">
        <is>
          <t>A017</t>
        </is>
      </c>
      <c r="E84" s="2" t="inlineStr">
        <is>
          <t>260805-08(M61)-A017.txt</t>
        </is>
      </c>
      <c r="F84" s="2" t="n">
        <v>1.740244113796941</v>
      </c>
      <c r="G84" s="2" t="n">
        <v>1.75548982735772</v>
      </c>
      <c r="H84" s="2" t="n">
        <v>2.067198129879912</v>
      </c>
      <c r="I84" s="2" t="n">
        <v>2.155561154352981</v>
      </c>
      <c r="J84" s="2" t="n">
        <v>1.790049573625239</v>
      </c>
      <c r="K84" s="2" t="n">
        <v>1.626199353003551</v>
      </c>
      <c r="L84" s="2" t="n">
        <v>1.432118571600747</v>
      </c>
      <c r="M84" s="2" t="n">
        <v>1.389279172747222</v>
      </c>
      <c r="N84" s="2" t="n">
        <v>8.949999999999999</v>
      </c>
      <c r="O84" s="2" t="n"/>
      <c r="P84" s="2" t="n"/>
      <c r="Q84" s="2">
        <f>((F84- 0.00793) / 0.1333)^(1/0.6199)</f>
        <v/>
      </c>
      <c r="R84" s="2">
        <f>((H84- 0.0166) / 0.0825)^(1/0.6529)</f>
        <v/>
      </c>
      <c r="S84" s="2">
        <f>((J84- 0.06053) / 0.0561)^(1/0.507)</f>
        <v/>
      </c>
      <c r="T84" s="2" t="n"/>
      <c r="U84" s="2" t="n"/>
      <c r="V84" s="2" t="n"/>
      <c r="W84" s="2" t="n"/>
      <c r="X84" s="2" t="n"/>
      <c r="Y84" s="2" t="n"/>
      <c r="Z84" s="2" t="n"/>
    </row>
    <row r="85">
      <c r="A85" s="2" t="n">
        <v>11</v>
      </c>
      <c r="B85" s="2" t="n">
        <v>260811</v>
      </c>
      <c r="C85" s="2" t="inlineStr">
        <is>
          <t>NCF6</t>
        </is>
      </c>
      <c r="D85" s="2" t="inlineStr">
        <is>
          <t>A017</t>
        </is>
      </c>
      <c r="E85" s="2" t="inlineStr">
        <is>
          <t>260811-01(NCF6)-A017.txt</t>
        </is>
      </c>
      <c r="F85" s="2" t="n">
        <v>1.932388375597663</v>
      </c>
      <c r="G85" s="2" t="n">
        <v>1.985161337724776</v>
      </c>
      <c r="H85" s="2" t="n">
        <v>2.284662762138282</v>
      </c>
      <c r="I85" s="2" t="n">
        <v>2.468196499355537</v>
      </c>
      <c r="J85" s="2" t="n">
        <v>2.093982149515018</v>
      </c>
      <c r="K85" s="2" t="n">
        <v>1.906223941396066</v>
      </c>
      <c r="L85" s="2" t="n">
        <v>1.719908557377211</v>
      </c>
      <c r="M85" s="2" t="n">
        <v>1.656002273199145</v>
      </c>
      <c r="N85" s="2" t="n">
        <v>6.71</v>
      </c>
      <c r="O85" s="2" t="n"/>
      <c r="P85" s="2" t="n"/>
      <c r="Q85" s="2">
        <f>((F85- 0.00793) / 0.1333)^(1/0.6199)</f>
        <v/>
      </c>
      <c r="R85" s="2">
        <f>((H85- 0.0166) / 0.0825)^(1/0.6529)</f>
        <v/>
      </c>
      <c r="S85" s="2">
        <f>((J85- 0.06053) / 0.0561)^(1/0.507)</f>
        <v/>
      </c>
      <c r="T85" s="2" t="n"/>
      <c r="U85" s="2" t="n"/>
      <c r="V85" s="2" t="n"/>
      <c r="W85" s="2" t="n"/>
      <c r="X85" s="2" t="n"/>
      <c r="Y85" s="2" t="n"/>
      <c r="Z85" s="2" t="n"/>
    </row>
    <row r="86">
      <c r="A86" s="2" t="n">
        <v>11</v>
      </c>
      <c r="B86" s="2" t="n">
        <v>260811</v>
      </c>
      <c r="C86" s="2" t="inlineStr">
        <is>
          <t>NC11</t>
        </is>
      </c>
      <c r="D86" s="2" t="inlineStr">
        <is>
          <t>A017</t>
        </is>
      </c>
      <c r="E86" s="2" t="inlineStr">
        <is>
          <t>260811-02(NC11)-A017.txt</t>
        </is>
      </c>
      <c r="F86" s="2" t="n">
        <v>1.457112968217763</v>
      </c>
      <c r="G86" s="2" t="n">
        <v>1.652551752894765</v>
      </c>
      <c r="H86" s="2" t="n">
        <v>2.01089632933788</v>
      </c>
      <c r="I86" s="2" t="n">
        <v>2.065379236818235</v>
      </c>
      <c r="J86" s="2" t="n">
        <v>1.578473180354936</v>
      </c>
      <c r="K86" s="2" t="n">
        <v>1.334854486140041</v>
      </c>
      <c r="L86" s="2" t="n">
        <v>1.157789586730157</v>
      </c>
      <c r="M86" s="2" t="n">
        <v>1.104257327716151</v>
      </c>
      <c r="N86" s="2" t="n">
        <v>15.14</v>
      </c>
      <c r="O86" s="2" t="n"/>
      <c r="P86" s="2" t="n"/>
      <c r="Q86" s="2">
        <f>((F86- 0.00793) / 0.1333)^(1/0.6199)</f>
        <v/>
      </c>
      <c r="R86" s="2">
        <f>((H86- 0.0166) / 0.0825)^(1/0.6529)</f>
        <v/>
      </c>
      <c r="S86" s="2">
        <f>((J86- 0.06053) / 0.0561)^(1/0.507)</f>
        <v/>
      </c>
      <c r="T86" s="2" t="n"/>
      <c r="U86" s="2" t="n"/>
      <c r="V86" s="2" t="n"/>
      <c r="W86" s="2" t="n"/>
      <c r="X86" s="2" t="n"/>
      <c r="Y86" s="2" t="n"/>
      <c r="Z86" s="2" t="n"/>
    </row>
    <row r="87">
      <c r="A87" s="2" t="n">
        <v>11</v>
      </c>
      <c r="B87" s="2" t="n">
        <v>260811</v>
      </c>
      <c r="C87" s="2" t="inlineStr">
        <is>
          <t>ACME</t>
        </is>
      </c>
      <c r="D87" s="2" t="inlineStr">
        <is>
          <t>A017</t>
        </is>
      </c>
      <c r="E87" s="2" t="inlineStr">
        <is>
          <t>260811-03(ACME)-A017.txt</t>
        </is>
      </c>
      <c r="F87" s="2" t="n">
        <v>1.390288902239376</v>
      </c>
      <c r="G87" s="2" t="n">
        <v>1.570048430158342</v>
      </c>
      <c r="H87" s="2" t="n">
        <v>1.965469526933636</v>
      </c>
      <c r="I87" s="2" t="n">
        <v>1.988275375204567</v>
      </c>
      <c r="J87" s="2" t="n">
        <v>1.506181434210062</v>
      </c>
      <c r="K87" s="2" t="n">
        <v>1.2615308652223</v>
      </c>
      <c r="L87" s="2" t="n">
        <v>1.080379409950391</v>
      </c>
      <c r="M87" s="2" t="n">
        <v>0.9844782428554583</v>
      </c>
      <c r="N87" s="2" t="n">
        <v>4.28</v>
      </c>
      <c r="O87" s="2" t="n"/>
      <c r="P87" s="2" t="n"/>
      <c r="Q87" s="2">
        <f>((F87- 0.00793) / 0.1333)^(1/0.6199)</f>
        <v/>
      </c>
      <c r="R87" s="2">
        <f>((H87- 0.0166) / 0.0825)^(1/0.6529)</f>
        <v/>
      </c>
      <c r="S87" s="2">
        <f>((J87- 0.06053) / 0.0561)^(1/0.507)</f>
        <v/>
      </c>
      <c r="T87" s="2" t="n"/>
      <c r="U87" s="2" t="n"/>
      <c r="V87" s="2" t="n"/>
      <c r="W87" s="2" t="n"/>
      <c r="X87" s="2" t="n"/>
      <c r="Y87" s="2" t="n"/>
      <c r="Z87" s="2" t="n"/>
    </row>
    <row r="88">
      <c r="A88" s="2" t="n">
        <v>11</v>
      </c>
      <c r="B88" s="2" t="n">
        <v>260811</v>
      </c>
      <c r="C88" s="2" t="inlineStr">
        <is>
          <t>BBT</t>
        </is>
      </c>
      <c r="D88" s="2" t="inlineStr">
        <is>
          <t>A016</t>
        </is>
      </c>
      <c r="E88" s="2" t="inlineStr">
        <is>
          <t>260811-05(BBT)-A016.txt</t>
        </is>
      </c>
      <c r="F88" s="2" t="n">
        <v>2.639694136990281</v>
      </c>
      <c r="G88" s="2" t="n">
        <v>2.748901703142518</v>
      </c>
      <c r="H88" s="2" t="n">
        <v>2.971663005472518</v>
      </c>
      <c r="I88" s="2" t="n">
        <v>3.339858421051856</v>
      </c>
      <c r="J88" s="2" t="n">
        <v>3.283315771926778</v>
      </c>
      <c r="K88" s="2" t="n">
        <v>2.933452989020206</v>
      </c>
      <c r="L88" s="2" t="n">
        <v>2.493541258355316</v>
      </c>
      <c r="M88" s="2" t="n">
        <v>2.228241243318234</v>
      </c>
      <c r="N88" s="2" t="n">
        <v>2.51</v>
      </c>
      <c r="O88" s="2" t="n"/>
      <c r="P88" s="2" t="n"/>
      <c r="Q88" s="2">
        <f>((F88- 0.00793) / 0.1333)^(1/0.6199)</f>
        <v/>
      </c>
      <c r="R88" s="2">
        <f>((H88- 0.0166) / 0.0825)^(1/0.6529)</f>
        <v/>
      </c>
      <c r="S88" s="2">
        <f>((J88- 0.06053) / 0.0561)^(1/0.507)</f>
        <v/>
      </c>
      <c r="T88" s="2" t="n"/>
      <c r="U88" s="2" t="n"/>
      <c r="V88" s="2" t="n"/>
      <c r="W88" s="2" t="n"/>
      <c r="X88" s="2" t="n"/>
      <c r="Y88" s="2" t="n"/>
      <c r="Z88" s="2" t="n"/>
    </row>
    <row r="89">
      <c r="A89" s="2" t="n">
        <v>11</v>
      </c>
      <c r="B89" s="2" t="n">
        <v>260811</v>
      </c>
      <c r="C89" s="2" t="inlineStr">
        <is>
          <t>IC</t>
        </is>
      </c>
      <c r="D89" s="2" t="inlineStr">
        <is>
          <t>A016</t>
        </is>
      </c>
      <c r="E89" s="2" t="inlineStr">
        <is>
          <t>260811-06(IC)-A016.txt</t>
        </is>
      </c>
      <c r="F89" s="2" t="n">
        <v>3.604183243966884</v>
      </c>
      <c r="G89" s="2" t="n">
        <v>3.682908874611758</v>
      </c>
      <c r="H89" s="2" t="n">
        <v>3.928628745063161</v>
      </c>
      <c r="I89" s="2" t="n">
        <v>4.32486632158296</v>
      </c>
      <c r="J89" s="2" t="n">
        <v>4.119886206572479</v>
      </c>
      <c r="K89" s="2" t="n">
        <v>3.78026993917628</v>
      </c>
      <c r="L89" s="2" t="n">
        <v>3.285381112251438</v>
      </c>
      <c r="M89" s="2" t="n">
        <v>2.962942529347117</v>
      </c>
      <c r="N89" s="2" t="n">
        <v>2.47</v>
      </c>
      <c r="O89" s="2" t="n"/>
      <c r="P89" s="2" t="n"/>
      <c r="Q89" s="2">
        <f>((F89- 0.00793) / 0.1333)^(1/0.6199)</f>
        <v/>
      </c>
      <c r="R89" s="2">
        <f>((H89- 0.0166) / 0.0825)^(1/0.6529)</f>
        <v/>
      </c>
      <c r="S89" s="2">
        <f>((J89- 0.06053) / 0.0561)^(1/0.507)</f>
        <v/>
      </c>
      <c r="T89" s="2" t="n"/>
      <c r="U89" s="2" t="n"/>
      <c r="V89" s="2" t="n"/>
      <c r="W89" s="2" t="n"/>
      <c r="X89" s="2" t="n"/>
      <c r="Y89" s="2" t="n"/>
      <c r="Z89" s="2" t="n"/>
    </row>
    <row r="90">
      <c r="A90" s="2" t="n">
        <v>12</v>
      </c>
      <c r="B90" s="2" t="n">
        <v>260814</v>
      </c>
      <c r="C90" s="2" t="inlineStr">
        <is>
          <t>M18</t>
        </is>
      </c>
      <c r="D90" s="2" t="inlineStr">
        <is>
          <t>A016</t>
        </is>
      </c>
      <c r="E90" s="2" t="inlineStr">
        <is>
          <t>260814-01(M18)-A016.txt</t>
        </is>
      </c>
      <c r="F90" s="2" t="n">
        <v>0.9169984522341165</v>
      </c>
      <c r="G90" s="2" t="n">
        <v>1.037039801115643</v>
      </c>
      <c r="H90" s="2" t="n">
        <v>0.9048916876218853</v>
      </c>
      <c r="I90" s="2" t="n">
        <v>0.7587185999256219</v>
      </c>
      <c r="J90" s="2" t="n">
        <v>0.6571718644764237</v>
      </c>
      <c r="K90" s="2" t="n">
        <v>0.6759814665271471</v>
      </c>
      <c r="L90" s="2" t="n">
        <v>0.7927380327551796</v>
      </c>
      <c r="M90" s="2" t="n">
        <v>0.9678496148974927</v>
      </c>
      <c r="N90" s="2" t="n"/>
      <c r="O90" s="2" t="n"/>
      <c r="P90" s="2" t="n"/>
      <c r="Q90" s="2">
        <f>((F90- 0.00793) / 0.1333)^(1/0.6199)</f>
        <v/>
      </c>
      <c r="R90" s="2">
        <f>((H90- 0.0166) / 0.0825)^(1/0.6529)</f>
        <v/>
      </c>
      <c r="S90" s="2">
        <f>((J90- 0.06053) / 0.0561)^(1/0.507)</f>
        <v/>
      </c>
      <c r="T90" s="2" t="n"/>
      <c r="U90" s="2" t="n"/>
      <c r="V90" s="2" t="n"/>
      <c r="W90" s="2" t="n"/>
      <c r="X90" s="2" t="n"/>
      <c r="Y90" s="2" t="n"/>
      <c r="Z90" s="2" t="n"/>
    </row>
    <row r="91">
      <c r="A91" s="2" t="n">
        <v>12</v>
      </c>
      <c r="B91" s="2" t="n">
        <v>260814</v>
      </c>
      <c r="C91" s="2" t="inlineStr">
        <is>
          <t>M23</t>
        </is>
      </c>
      <c r="D91" s="2" t="inlineStr">
        <is>
          <t>A016</t>
        </is>
      </c>
      <c r="E91" s="2" t="inlineStr">
        <is>
          <t>260814-02(M23)-A016.txt</t>
        </is>
      </c>
      <c r="F91" s="2" t="n">
        <v>0.5809246318805357</v>
      </c>
      <c r="G91" s="2" t="n">
        <v>0.6687776707688</v>
      </c>
      <c r="H91" s="2" t="n">
        <v>0.4935243018992062</v>
      </c>
      <c r="I91" s="2" t="n">
        <v>0.3511376679199549</v>
      </c>
      <c r="J91" s="2" t="n">
        <v>0.1994562106127961</v>
      </c>
      <c r="K91" s="2" t="n">
        <v>0.2051305580751593</v>
      </c>
      <c r="L91" s="2" t="n">
        <v>0.3061843068344487</v>
      </c>
      <c r="M91" s="2" t="n">
        <v>0.4074791603545395</v>
      </c>
      <c r="N91" s="2" t="n"/>
      <c r="O91" s="2" t="n"/>
      <c r="P91" s="2" t="n"/>
      <c r="Q91" s="2">
        <f>((F91- 0.00793) / 0.1333)^(1/0.6199)</f>
        <v/>
      </c>
      <c r="R91" s="2">
        <f>((H91- 0.0166) / 0.0825)^(1/0.6529)</f>
        <v/>
      </c>
      <c r="S91" s="2">
        <f>((J91- 0.06053) / 0.0561)^(1/0.507)</f>
        <v/>
      </c>
      <c r="T91" s="2" t="n"/>
      <c r="U91" s="2" t="n"/>
      <c r="V91" s="2" t="n"/>
      <c r="W91" s="2" t="n"/>
      <c r="X91" s="2" t="n"/>
      <c r="Y91" s="2" t="n"/>
      <c r="Z91" s="2" t="n"/>
    </row>
    <row r="92">
      <c r="A92" s="2" t="n">
        <v>12</v>
      </c>
      <c r="B92" s="2" t="n">
        <v>260814</v>
      </c>
      <c r="C92" s="2" t="inlineStr">
        <is>
          <t>M35</t>
        </is>
      </c>
      <c r="D92" s="2" t="inlineStr">
        <is>
          <t>A016</t>
        </is>
      </c>
      <c r="E92" s="2" t="inlineStr">
        <is>
          <t>260814-03(M35)-A016.txt</t>
        </is>
      </c>
      <c r="F92" s="2" t="n">
        <v>1.05337045852381</v>
      </c>
      <c r="G92" s="2" t="n">
        <v>1.191403510440748</v>
      </c>
      <c r="H92" s="2" t="n">
        <v>1.260253995354741</v>
      </c>
      <c r="I92" s="2" t="n">
        <v>1.143104338083672</v>
      </c>
      <c r="J92" s="2" t="n">
        <v>0.9352749627040596</v>
      </c>
      <c r="K92" s="2" t="n">
        <v>0.8936515157645497</v>
      </c>
      <c r="L92" s="2" t="n">
        <v>0.9592498418777193</v>
      </c>
      <c r="M92" s="2" t="n">
        <v>1.050851311115036</v>
      </c>
      <c r="N92" s="2" t="n"/>
      <c r="O92" s="2" t="n"/>
      <c r="P92" s="2" t="n"/>
      <c r="Q92" s="2">
        <f>((F92- 0.00793) / 0.1333)^(1/0.6199)</f>
        <v/>
      </c>
      <c r="R92" s="2">
        <f>((H92- 0.0166) / 0.0825)^(1/0.6529)</f>
        <v/>
      </c>
      <c r="S92" s="2">
        <f>((J92- 0.06053) / 0.0561)^(1/0.507)</f>
        <v/>
      </c>
      <c r="T92" s="2" t="n"/>
      <c r="U92" s="2" t="n"/>
      <c r="V92" s="2" t="n"/>
      <c r="W92" s="2" t="n"/>
      <c r="X92" s="2" t="n"/>
      <c r="Y92" s="2" t="n"/>
      <c r="Z92" s="2" t="n"/>
    </row>
    <row r="93">
      <c r="A93" s="2" t="n">
        <v>12</v>
      </c>
      <c r="B93" s="2" t="n">
        <v>260814</v>
      </c>
      <c r="C93" s="2" t="inlineStr">
        <is>
          <t>M54</t>
        </is>
      </c>
      <c r="D93" s="2" t="inlineStr">
        <is>
          <t>A016</t>
        </is>
      </c>
      <c r="E93" s="2" t="inlineStr">
        <is>
          <t>260814-04(M54)-A016.txt</t>
        </is>
      </c>
      <c r="F93" s="2" t="n">
        <v>2.03412888039567</v>
      </c>
      <c r="G93" s="2" t="n">
        <v>2.16586859760258</v>
      </c>
      <c r="H93" s="2" t="n">
        <v>2.349393092083538</v>
      </c>
      <c r="I93" s="2" t="n">
        <v>2.414497816399106</v>
      </c>
      <c r="J93" s="2" t="n">
        <v>2.076730327191455</v>
      </c>
      <c r="K93" s="2" t="n">
        <v>1.901303560688103</v>
      </c>
      <c r="L93" s="2" t="n">
        <v>1.837787460183133</v>
      </c>
      <c r="M93" s="2" t="n">
        <v>1.877582108818609</v>
      </c>
      <c r="N93" s="2" t="n"/>
      <c r="O93" s="2" t="n"/>
      <c r="P93" s="2" t="n"/>
      <c r="Q93" s="2">
        <f>((F93- 0.00793) / 0.1333)^(1/0.6199)</f>
        <v/>
      </c>
      <c r="R93" s="2">
        <f>((H93- 0.0166) / 0.0825)^(1/0.6529)</f>
        <v/>
      </c>
      <c r="S93" s="2">
        <f>((J93- 0.06053) / 0.0561)^(1/0.507)</f>
        <v/>
      </c>
      <c r="T93" s="2" t="n"/>
      <c r="U93" s="2" t="n"/>
      <c r="V93" s="2" t="n"/>
      <c r="W93" s="2" t="n"/>
      <c r="X93" s="2" t="n"/>
      <c r="Y93" s="2" t="n"/>
      <c r="Z93" s="2" t="n"/>
    </row>
    <row r="94">
      <c r="A94" s="2" t="n">
        <v>12</v>
      </c>
      <c r="B94" s="2" t="n">
        <v>260814</v>
      </c>
      <c r="C94" s="2" t="inlineStr">
        <is>
          <t>BRR</t>
        </is>
      </c>
      <c r="D94" s="2" t="inlineStr">
        <is>
          <t>A016</t>
        </is>
      </c>
      <c r="E94" s="2" t="inlineStr">
        <is>
          <t>260814-05(BRR)-A016.txt</t>
        </is>
      </c>
      <c r="F94" s="2" t="n">
        <v>2.34483902430133</v>
      </c>
      <c r="G94" s="2" t="n">
        <v>2.47211767442121</v>
      </c>
      <c r="H94" s="2" t="n">
        <v>2.66040042144111</v>
      </c>
      <c r="I94" s="2" t="n">
        <v>2.81220059561354</v>
      </c>
      <c r="J94" s="2" t="n">
        <v>2.495045782622106</v>
      </c>
      <c r="K94" s="2" t="n">
        <v>2.272208286840205</v>
      </c>
      <c r="L94" s="2" t="n">
        <v>2.119523066554454</v>
      </c>
      <c r="M94" s="2" t="n">
        <v>2.099249559415138</v>
      </c>
      <c r="N94" s="2" t="n"/>
      <c r="O94" s="2" t="n"/>
      <c r="P94" s="2" t="n"/>
      <c r="Q94" s="2">
        <f>((F94- 0.00793) / 0.1333)^(1/0.6199)</f>
        <v/>
      </c>
      <c r="R94" s="2">
        <f>((H94- 0.0166) / 0.0825)^(1/0.6529)</f>
        <v/>
      </c>
      <c r="S94" s="2">
        <f>((J94- 0.06053) / 0.0561)^(1/0.507)</f>
        <v/>
      </c>
      <c r="T94" s="2" t="n"/>
      <c r="U94" s="2" t="n"/>
      <c r="V94" s="2" t="n"/>
      <c r="W94" s="2" t="n"/>
      <c r="X94" s="2" t="n"/>
      <c r="Y94" s="2" t="n"/>
      <c r="Z94" s="2" t="n"/>
    </row>
    <row r="95">
      <c r="A95" s="2" t="n">
        <v>12</v>
      </c>
      <c r="B95" s="2" t="n">
        <v>260814</v>
      </c>
      <c r="C95" s="2" t="inlineStr">
        <is>
          <t>M61</t>
        </is>
      </c>
      <c r="D95" s="2" t="inlineStr">
        <is>
          <t>A016</t>
        </is>
      </c>
      <c r="E95" s="2" t="inlineStr">
        <is>
          <t>260814-06(M61)-A016.txt</t>
        </is>
      </c>
      <c r="F95" s="2" t="n">
        <v>1.706194722177646</v>
      </c>
      <c r="G95" s="2" t="n">
        <v>1.840002055311265</v>
      </c>
      <c r="H95" s="2" t="n">
        <v>2.027191024061445</v>
      </c>
      <c r="I95" s="2" t="n">
        <v>2.120302816558282</v>
      </c>
      <c r="J95" s="2" t="n">
        <v>1.791033621500532</v>
      </c>
      <c r="K95" s="2" t="n">
        <v>1.598891474530829</v>
      </c>
      <c r="L95" s="2" t="n">
        <v>1.497854181372955</v>
      </c>
      <c r="M95" s="2" t="n">
        <v>1.516905992621709</v>
      </c>
      <c r="N95" s="2" t="n"/>
      <c r="O95" s="2" t="n"/>
      <c r="P95" s="2" t="n"/>
      <c r="Q95" s="2">
        <f>((F95- 0.00793) / 0.1333)^(1/0.6199)</f>
        <v/>
      </c>
      <c r="R95" s="2">
        <f>((H95- 0.0166) / 0.0825)^(1/0.6529)</f>
        <v/>
      </c>
      <c r="S95" s="2">
        <f>((J95- 0.06053) / 0.0561)^(1/0.507)</f>
        <v/>
      </c>
      <c r="T95" s="2" t="n"/>
      <c r="U95" s="2" t="n"/>
      <c r="V95" s="2" t="n"/>
      <c r="W95" s="2" t="n"/>
      <c r="X95" s="2" t="n"/>
      <c r="Y95" s="2" t="n"/>
      <c r="Z95" s="2" t="n"/>
    </row>
    <row r="96">
      <c r="A96" s="2" t="n">
        <v>12</v>
      </c>
      <c r="B96" s="2" t="n">
        <v>260814</v>
      </c>
      <c r="C96" s="2" t="inlineStr">
        <is>
          <t>NCF6</t>
        </is>
      </c>
      <c r="D96" s="2" t="inlineStr">
        <is>
          <t>A016</t>
        </is>
      </c>
      <c r="E96" s="2" t="inlineStr">
        <is>
          <t>260814-07(NCF6)-A016.txt</t>
        </is>
      </c>
      <c r="F96" s="2" t="n">
        <v>3.269296319397297</v>
      </c>
      <c r="G96" s="2" t="n">
        <v>3.533598034519782</v>
      </c>
      <c r="H96" s="2" t="n">
        <v>3.783601416294009</v>
      </c>
      <c r="I96" s="2" t="n">
        <v>3.854295107992491</v>
      </c>
      <c r="J96" s="2" t="n">
        <v>3.458609772848395</v>
      </c>
      <c r="K96" s="2" t="n">
        <v>3.156400041674619</v>
      </c>
      <c r="L96" s="2" t="n">
        <v>2.898432776408682</v>
      </c>
      <c r="M96" s="2" t="n">
        <v>2.776518141216077</v>
      </c>
      <c r="N96" s="2" t="n"/>
      <c r="O96" s="2" t="n"/>
      <c r="P96" s="2" t="n"/>
      <c r="Q96" s="2">
        <f>((F96- 0.00793) / 0.1333)^(1/0.6199)</f>
        <v/>
      </c>
      <c r="R96" s="2">
        <f>((H96- 0.0166) / 0.0825)^(1/0.6529)</f>
        <v/>
      </c>
      <c r="S96" s="2">
        <f>((J96- 0.06053) / 0.0561)^(1/0.507)</f>
        <v/>
      </c>
      <c r="T96" s="2" t="n"/>
      <c r="U96" s="2" t="n"/>
      <c r="V96" s="2" t="n"/>
      <c r="W96" s="2" t="n"/>
      <c r="X96" s="2" t="n"/>
      <c r="Y96" s="2" t="n"/>
      <c r="Z96" s="2" t="n"/>
    </row>
    <row r="97">
      <c r="A97" s="2" t="n">
        <v>13</v>
      </c>
      <c r="B97" s="2" t="n">
        <v>260828</v>
      </c>
      <c r="C97" s="2" t="inlineStr">
        <is>
          <t>HB</t>
        </is>
      </c>
      <c r="D97" s="2" t="inlineStr">
        <is>
          <t>A016</t>
        </is>
      </c>
      <c r="E97" s="2" t="inlineStr">
        <is>
          <t>260828-01(HB)-A016.txt</t>
        </is>
      </c>
      <c r="F97" s="2" t="n">
        <v>2.385928434981577</v>
      </c>
      <c r="G97" s="2" t="n">
        <v>2.589545683102387</v>
      </c>
      <c r="H97" s="2" t="n">
        <v>2.904264233836232</v>
      </c>
      <c r="I97" s="2" t="n">
        <v>2.950896295203233</v>
      </c>
      <c r="J97" s="2" t="n">
        <v>2.501269192784334</v>
      </c>
      <c r="K97" s="2" t="n">
        <v>2.209991487852506</v>
      </c>
      <c r="L97" s="2" t="n">
        <v>1.959573496189758</v>
      </c>
      <c r="M97" s="2" t="n">
        <v>1.853287037418592</v>
      </c>
      <c r="N97" s="2" t="n"/>
      <c r="O97" s="2" t="n"/>
      <c r="P97" s="2" t="n"/>
      <c r="Q97" s="2">
        <f>((F97- 0.00793) / 0.1333)^(1/0.6199)</f>
        <v/>
      </c>
      <c r="R97" s="2">
        <f>((H97- 0.0166) / 0.0825)^(1/0.6529)</f>
        <v/>
      </c>
      <c r="S97" s="2">
        <f>((J97- 0.06053) / 0.0561)^(1/0.507)</f>
        <v/>
      </c>
      <c r="T97" s="2" t="n"/>
      <c r="U97" s="2" t="n"/>
      <c r="V97" s="2" t="n"/>
      <c r="W97" s="2" t="n"/>
      <c r="X97" s="2" t="n"/>
      <c r="Y97" s="2" t="n"/>
      <c r="Z97" s="2" t="n"/>
    </row>
    <row r="98">
      <c r="A98" s="2" t="n">
        <v>13</v>
      </c>
      <c r="B98" s="2" t="n">
        <v>260828</v>
      </c>
      <c r="C98" s="2" t="inlineStr">
        <is>
          <t>NAV</t>
        </is>
      </c>
      <c r="D98" s="2" t="inlineStr">
        <is>
          <t>A016</t>
        </is>
      </c>
      <c r="E98" s="2" t="inlineStr">
        <is>
          <t>260828-02(NAV)-A016.txt</t>
        </is>
      </c>
      <c r="F98" s="2" t="n">
        <v>3.020534128706676</v>
      </c>
      <c r="G98" s="2" t="n">
        <v>3.237906937598802</v>
      </c>
      <c r="H98" s="2" t="n">
        <v>3.578455158739991</v>
      </c>
      <c r="I98" s="2" t="n">
        <v>3.821772642001682</v>
      </c>
      <c r="J98" s="2" t="n">
        <v>3.395671719942216</v>
      </c>
      <c r="K98" s="2" t="n">
        <v>3.036581568626559</v>
      </c>
      <c r="L98" s="2" t="n">
        <v>2.65028364367049</v>
      </c>
      <c r="M98" s="2" t="n">
        <v>2.411016456425145</v>
      </c>
      <c r="N98" s="2" t="n"/>
      <c r="O98" s="2" t="n"/>
      <c r="P98" s="2" t="n"/>
      <c r="Q98" s="2">
        <f>((F98- 0.00793) / 0.1333)^(1/0.6199)</f>
        <v/>
      </c>
      <c r="R98" s="2">
        <f>((H98- 0.0166) / 0.0825)^(1/0.6529)</f>
        <v/>
      </c>
      <c r="S98" s="2">
        <f>((J98- 0.06053) / 0.0561)^(1/0.507)</f>
        <v/>
      </c>
      <c r="T98" s="2" t="n"/>
      <c r="U98" s="2" t="n"/>
      <c r="V98" s="2" t="n"/>
      <c r="W98" s="2" t="n"/>
      <c r="X98" s="2" t="n"/>
      <c r="Y98" s="2" t="n"/>
      <c r="Z98" s="2" t="n"/>
    </row>
    <row r="99">
      <c r="A99" s="2" t="n">
        <v>13</v>
      </c>
      <c r="B99" s="2" t="n">
        <v>260828</v>
      </c>
      <c r="C99" s="2" t="inlineStr">
        <is>
          <t>IC</t>
        </is>
      </c>
      <c r="D99" s="2" t="inlineStr">
        <is>
          <t>A016</t>
        </is>
      </c>
      <c r="E99" s="2" t="inlineStr">
        <is>
          <t>260828-03(IC)-A016.txt</t>
        </is>
      </c>
      <c r="F99" s="2" t="n">
        <v>2.745038577608925</v>
      </c>
      <c r="G99" s="2" t="n">
        <v>2.812806265463525</v>
      </c>
      <c r="H99" s="2" t="n">
        <v>3.100088584948889</v>
      </c>
      <c r="I99" s="2" t="n">
        <v>3.523221846228516</v>
      </c>
      <c r="J99" s="2" t="n">
        <v>3.31746355012878</v>
      </c>
      <c r="K99" s="2" t="n">
        <v>2.952390855206321</v>
      </c>
      <c r="L99" s="2" t="n">
        <v>2.469488734116377</v>
      </c>
      <c r="M99" s="2" t="n">
        <v>2.143314425208342</v>
      </c>
      <c r="N99" s="2" t="n"/>
      <c r="O99" s="2" t="n"/>
      <c r="P99" s="2" t="n"/>
      <c r="Q99" s="2">
        <f>((F99- 0.00793) / 0.1333)^(1/0.6199)</f>
        <v/>
      </c>
      <c r="R99" s="2">
        <f>((H99- 0.0166) / 0.0825)^(1/0.6529)</f>
        <v/>
      </c>
      <c r="S99" s="2">
        <f>((J99- 0.06053) / 0.0561)^(1/0.507)</f>
        <v/>
      </c>
      <c r="T99" s="2" t="n"/>
      <c r="U99" s="2" t="n"/>
      <c r="V99" s="2" t="n"/>
      <c r="W99" s="2" t="n"/>
      <c r="X99" s="2" t="n"/>
      <c r="Y99" s="2" t="n"/>
      <c r="Z99" s="2" t="n"/>
    </row>
    <row r="100">
      <c r="A100" s="2" t="n">
        <v>13</v>
      </c>
      <c r="B100" s="2" t="n">
        <v>260828</v>
      </c>
      <c r="C100" s="2" t="inlineStr">
        <is>
          <t>BBT</t>
        </is>
      </c>
      <c r="D100" s="2" t="inlineStr">
        <is>
          <t>A016</t>
        </is>
      </c>
      <c r="E100" s="2" t="inlineStr">
        <is>
          <t>260828-04(BBT)-A016.txt</t>
        </is>
      </c>
      <c r="F100" s="2" t="n">
        <v>2.360991150441625</v>
      </c>
      <c r="G100" s="2" t="n">
        <v>2.4714040019134</v>
      </c>
      <c r="H100" s="2" t="n">
        <v>2.744412588941202</v>
      </c>
      <c r="I100" s="2" t="n">
        <v>3.077189377690543</v>
      </c>
      <c r="J100" s="2" t="n">
        <v>2.731051347539672</v>
      </c>
      <c r="K100" s="2" t="n">
        <v>2.39285500918093</v>
      </c>
      <c r="L100" s="2" t="n">
        <v>1.986433581084712</v>
      </c>
      <c r="M100" s="2" t="n">
        <v>1.740859092580224</v>
      </c>
      <c r="N100" s="2" t="n"/>
      <c r="O100" s="2" t="n"/>
      <c r="P100" s="2" t="n"/>
      <c r="Q100" s="2">
        <f>((F100- 0.00793) / 0.1333)^(1/0.6199)</f>
        <v/>
      </c>
      <c r="R100" s="2">
        <f>((H100- 0.0166) / 0.0825)^(1/0.6529)</f>
        <v/>
      </c>
      <c r="S100" s="2">
        <f>((J100- 0.06053) / 0.0561)^(1/0.507)</f>
        <v/>
      </c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>
        <v>13</v>
      </c>
      <c r="B101" s="2" t="n">
        <v>260828</v>
      </c>
      <c r="C101" s="2" t="inlineStr">
        <is>
          <t>DP</t>
        </is>
      </c>
      <c r="D101" s="2" t="inlineStr">
        <is>
          <t>A016</t>
        </is>
      </c>
      <c r="E101" s="2" t="inlineStr">
        <is>
          <t>260828-05(DP)-A016.txt</t>
        </is>
      </c>
      <c r="F101" s="2" t="n">
        <v>2.397090180579627</v>
      </c>
      <c r="G101" s="2" t="n">
        <v>2.541655321828164</v>
      </c>
      <c r="H101" s="2" t="n">
        <v>2.835805178199924</v>
      </c>
      <c r="I101" s="2" t="n">
        <v>3.123136262475635</v>
      </c>
      <c r="J101" s="2" t="n">
        <v>2.753867711954808</v>
      </c>
      <c r="K101" s="2" t="n">
        <v>2.39605838598346</v>
      </c>
      <c r="L101" s="2" t="n">
        <v>2.002238495509717</v>
      </c>
      <c r="M101" s="2" t="n">
        <v>1.740182324382959</v>
      </c>
      <c r="N101" s="2" t="n"/>
      <c r="O101" s="2" t="n"/>
      <c r="P101" s="2" t="n"/>
      <c r="Q101" s="2">
        <f>((F101- 0.00793) / 0.1333)^(1/0.6199)</f>
        <v/>
      </c>
      <c r="R101" s="2">
        <f>((H101- 0.0166) / 0.0825)^(1/0.6529)</f>
        <v/>
      </c>
      <c r="S101" s="2">
        <f>((J101- 0.06053) / 0.0561)^(1/0.507)</f>
        <v/>
      </c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>
        <v>13</v>
      </c>
      <c r="B102" s="2" t="n">
        <v>260828</v>
      </c>
      <c r="C102" s="2" t="inlineStr">
        <is>
          <t>ACME</t>
        </is>
      </c>
      <c r="D102" s="2" t="inlineStr">
        <is>
          <t>A016</t>
        </is>
      </c>
      <c r="E102" s="2" t="inlineStr">
        <is>
          <t>260828-06(ACME)-A016.txt</t>
        </is>
      </c>
      <c r="F102" s="2" t="n">
        <v>1.535648367187809</v>
      </c>
      <c r="G102" s="2" t="n">
        <v>1.679631416452092</v>
      </c>
      <c r="H102" s="2" t="n">
        <v>1.894741780998749</v>
      </c>
      <c r="I102" s="2" t="n">
        <v>1.948787096611175</v>
      </c>
      <c r="J102" s="2" t="n">
        <v>1.610598072519854</v>
      </c>
      <c r="K102" s="2" t="n">
        <v>1.417288805807113</v>
      </c>
      <c r="L102" s="2" t="n">
        <v>1.268681050981895</v>
      </c>
      <c r="M102" s="2" t="n">
        <v>1.216682523765521</v>
      </c>
      <c r="N102" s="2" t="n"/>
      <c r="O102" s="2" t="n"/>
      <c r="P102" s="2" t="n"/>
      <c r="Q102" s="2">
        <f>((F102- 0.00793) / 0.1333)^(1/0.6199)</f>
        <v/>
      </c>
      <c r="R102" s="2">
        <f>((H102- 0.0166) / 0.0825)^(1/0.6529)</f>
        <v/>
      </c>
      <c r="S102" s="2">
        <f>((J102- 0.06053) / 0.0561)^(1/0.507)</f>
        <v/>
      </c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>
        <v>13</v>
      </c>
      <c r="B103" s="2" t="n">
        <v>260828</v>
      </c>
      <c r="C103" s="2" t="inlineStr">
        <is>
          <t>NC11</t>
        </is>
      </c>
      <c r="D103" s="2" t="inlineStr">
        <is>
          <t>A016</t>
        </is>
      </c>
      <c r="E103" s="2" t="inlineStr">
        <is>
          <t>260828-07(NC11)-A016.txt</t>
        </is>
      </c>
      <c r="F103" s="2" t="n">
        <v>1.445776860456186</v>
      </c>
      <c r="G103" s="2" t="n">
        <v>1.584505381861228</v>
      </c>
      <c r="H103" s="2" t="n">
        <v>1.768024575849353</v>
      </c>
      <c r="I103" s="2" t="n">
        <v>1.770864905042477</v>
      </c>
      <c r="J103" s="2" t="n">
        <v>1.471822859563854</v>
      </c>
      <c r="K103" s="2" t="n">
        <v>1.323482429198794</v>
      </c>
      <c r="L103" s="2" t="n">
        <v>1.252867866024945</v>
      </c>
      <c r="M103" s="2" t="n">
        <v>1.279730332123967</v>
      </c>
      <c r="N103" s="2" t="n"/>
      <c r="O103" s="2" t="n"/>
      <c r="P103" s="2" t="n"/>
      <c r="Q103" s="2">
        <f>((F103- 0.00793) / 0.1333)^(1/0.6199)</f>
        <v/>
      </c>
      <c r="R103" s="2">
        <f>((H103- 0.0166) / 0.0825)^(1/0.6529)</f>
        <v/>
      </c>
      <c r="S103" s="2">
        <f>((J103- 0.06053) / 0.0561)^(1/0.507)</f>
        <v/>
      </c>
      <c r="T103" s="2" t="n"/>
      <c r="U103" s="2" t="n"/>
      <c r="V103" s="2" t="n"/>
      <c r="W103" s="2" t="n"/>
      <c r="X103" s="2" t="n"/>
      <c r="Y103" s="2" t="n"/>
      <c r="Z103" s="2" t="n"/>
    </row>
    <row r="104"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selection activeCell="P19" sqref="P19"/>
    </sheetView>
  </sheetViews>
  <sheetFormatPr baseColWidth="10" defaultRowHeight="14"/>
  <cols>
    <col width="10.83203125" customWidth="1" style="2" min="1" max="4"/>
    <col width="25.1640625" customWidth="1" style="2" min="5" max="5"/>
    <col width="17.33203125" customWidth="1" style="2" min="6" max="6"/>
    <col width="10.83203125" customWidth="1" style="2" min="7" max="20"/>
    <col width="25.6640625" customWidth="1" style="2" min="21" max="21"/>
    <col width="10.83203125" customWidth="1" style="2" min="22" max="30"/>
    <col width="62.5" customWidth="1" style="2" min="31" max="31"/>
    <col width="10.83203125" customWidth="1" style="2" min="32" max="32"/>
    <col width="10.83203125" customWidth="1" style="2" min="33" max="16384"/>
  </cols>
  <sheetData>
    <row r="1">
      <c r="A1" s="6" t="inlineStr">
        <is>
          <t>Cruise_#</t>
        </is>
      </c>
      <c r="B1" s="6" t="inlineStr">
        <is>
          <t>Date</t>
        </is>
      </c>
      <c r="C1" s="6" t="inlineStr">
        <is>
          <t>Station</t>
        </is>
      </c>
      <c r="D1" s="6" t="inlineStr">
        <is>
          <t>SSD_ID</t>
        </is>
      </c>
      <c r="E1" s="6" t="inlineStr">
        <is>
          <t>Filename</t>
        </is>
      </c>
      <c r="F1" s="6" t="inlineStr">
        <is>
          <t>µg Chl a/L, direct</t>
        </is>
      </c>
      <c r="G1" s="6" t="inlineStr">
        <is>
          <t>415nm</t>
        </is>
      </c>
      <c r="H1" s="6" t="inlineStr">
        <is>
          <t>445nm</t>
        </is>
      </c>
      <c r="I1" s="6" t="inlineStr">
        <is>
          <t>480nm</t>
        </is>
      </c>
      <c r="J1" s="6" t="inlineStr">
        <is>
          <t>515nm</t>
        </is>
      </c>
      <c r="K1" s="6" t="inlineStr">
        <is>
          <t>555nm</t>
        </is>
      </c>
      <c r="L1" s="6" t="inlineStr">
        <is>
          <t>590nm</t>
        </is>
      </c>
      <c r="M1" s="6" t="inlineStr">
        <is>
          <t>630nm</t>
        </is>
      </c>
      <c r="N1" s="6" t="inlineStr">
        <is>
          <t>680nm</t>
        </is>
      </c>
      <c r="O1" s="7" t="inlineStr">
        <is>
          <t>Notes</t>
        </is>
      </c>
      <c r="P1" s="8" t="n"/>
      <c r="Q1" s="8" t="n"/>
      <c r="AE1" s="2" t="inlineStr">
        <is>
          <t>Notes</t>
        </is>
      </c>
    </row>
    <row r="2">
      <c r="A2" s="8" t="n">
        <v>2</v>
      </c>
      <c r="B2" s="8" t="n">
        <v>260603</v>
      </c>
      <c r="C2" s="8" t="inlineStr">
        <is>
          <t>NCF6</t>
        </is>
      </c>
      <c r="D2" s="8" t="inlineStr">
        <is>
          <t>A016</t>
        </is>
      </c>
      <c r="E2" s="8" t="inlineStr">
        <is>
          <t>260603-01(NCF6)-A016.txt</t>
        </is>
      </c>
      <c r="F2" s="8" t="n">
        <v>11.7</v>
      </c>
      <c r="G2" s="8" t="n">
        <v>2.398001285323188</v>
      </c>
      <c r="H2" s="8" t="n">
        <v>2.735971528554478</v>
      </c>
      <c r="I2" s="8" t="n">
        <v>2.900744774481116</v>
      </c>
      <c r="J2" s="8" t="n">
        <v>2.840495458794775</v>
      </c>
      <c r="K2" s="8" t="n">
        <v>2.22605740468887</v>
      </c>
      <c r="L2" s="8" t="n">
        <v>1.95505840522604</v>
      </c>
      <c r="M2" s="8" t="n">
        <v>1.657678111219038</v>
      </c>
      <c r="N2" s="8" t="n">
        <v>1.563810857831517</v>
      </c>
      <c r="O2" s="8" t="inlineStr">
        <is>
          <t>680 - 0.944</t>
        </is>
      </c>
      <c r="P2" s="8" t="n"/>
      <c r="Q2" s="8" t="n"/>
    </row>
    <row r="3">
      <c r="A3" s="8" t="n">
        <v>2</v>
      </c>
      <c r="B3" s="8" t="n">
        <v>260603</v>
      </c>
      <c r="C3" s="8" t="inlineStr">
        <is>
          <t>NC11</t>
        </is>
      </c>
      <c r="D3" s="8" t="inlineStr">
        <is>
          <t>A016</t>
        </is>
      </c>
      <c r="E3" s="8" t="inlineStr">
        <is>
          <t>260603-02(NC11)-A016.txt</t>
        </is>
      </c>
      <c r="F3" s="8" t="n">
        <v>4.2</v>
      </c>
      <c r="G3" s="8" t="n">
        <v>1.975433578458068</v>
      </c>
      <c r="H3" s="8" t="n">
        <v>2.302157934035755</v>
      </c>
      <c r="I3" s="8" t="n">
        <v>2.190608482283043</v>
      </c>
      <c r="J3" s="8" t="n">
        <v>1.794615055134144</v>
      </c>
      <c r="K3" s="8" t="n">
        <v>1.381167281653745</v>
      </c>
      <c r="L3" s="8" t="n">
        <v>1.237831548591606</v>
      </c>
      <c r="M3" s="8" t="n">
        <v>1.140692467974824</v>
      </c>
      <c r="N3" s="8" t="n">
        <v>1.084847406429358</v>
      </c>
      <c r="O3" s="8" t="inlineStr">
        <is>
          <t>680 = 0.948</t>
        </is>
      </c>
      <c r="P3" s="8" t="n"/>
      <c r="Q3" s="8" t="n"/>
    </row>
    <row r="4">
      <c r="A4" s="8" t="n">
        <v>2</v>
      </c>
      <c r="B4" s="8" t="n">
        <v>260603</v>
      </c>
      <c r="C4" s="8" t="inlineStr">
        <is>
          <t>ACME</t>
        </is>
      </c>
      <c r="D4" s="8" t="inlineStr">
        <is>
          <t>A016</t>
        </is>
      </c>
      <c r="E4" s="8" t="inlineStr">
        <is>
          <t>260603-03(ACME)-A016.txt</t>
        </is>
      </c>
      <c r="F4" s="8" t="n">
        <v>3.4</v>
      </c>
      <c r="G4" s="8" t="n">
        <v>1.997011975124206</v>
      </c>
      <c r="H4" s="8" t="n">
        <v>2.22334586237273</v>
      </c>
      <c r="I4" s="8" t="n">
        <v>2.268501074762895</v>
      </c>
      <c r="J4" s="8" t="n">
        <v>1.998628278172482</v>
      </c>
      <c r="K4" s="8" t="n">
        <v>1.634105292420164</v>
      </c>
      <c r="L4" s="8" t="n">
        <v>1.472562472820027</v>
      </c>
      <c r="M4" s="8" t="n">
        <v>1.31358448948606</v>
      </c>
      <c r="N4" s="8" t="n">
        <v>1.24621830269356</v>
      </c>
      <c r="O4" s="8" t="inlineStr">
        <is>
          <t>415 = 0.949</t>
        </is>
      </c>
      <c r="P4" s="8" t="n"/>
      <c r="Q4" s="8" t="n"/>
    </row>
    <row r="5">
      <c r="A5" s="8" t="n">
        <v>2</v>
      </c>
      <c r="B5" s="8" t="n">
        <v>260603</v>
      </c>
      <c r="C5" s="8" t="inlineStr">
        <is>
          <t>DP</t>
        </is>
      </c>
      <c r="D5" s="8" t="inlineStr">
        <is>
          <t>A016</t>
        </is>
      </c>
      <c r="E5" s="8" t="inlineStr">
        <is>
          <t>260603-04(DP)-A016.txt</t>
        </is>
      </c>
      <c r="F5" s="8" t="n">
        <v>2.4</v>
      </c>
      <c r="G5" s="8" t="n">
        <v>6.315459770934946</v>
      </c>
      <c r="H5" s="8" t="n">
        <v>6.841373107957645</v>
      </c>
      <c r="I5" s="8" t="n">
        <v>1.78785693083859</v>
      </c>
      <c r="J5" s="8" t="n">
        <v>1.784550613652188</v>
      </c>
      <c r="K5" s="8" t="n">
        <v>1.976579422722368</v>
      </c>
      <c r="L5" s="8" t="n">
        <v>1.739365531688934</v>
      </c>
      <c r="M5" s="8" t="n">
        <v>1.495911575468646</v>
      </c>
      <c r="N5" s="8" t="n">
        <v>1.404175709268874</v>
      </c>
      <c r="O5" s="8" t="inlineStr">
        <is>
          <t>415 and 445: &lt; 0.95</t>
        </is>
      </c>
      <c r="P5" s="8" t="n"/>
      <c r="Q5" s="8" t="n"/>
    </row>
    <row r="6">
      <c r="A6" s="8" t="n">
        <v>2</v>
      </c>
      <c r="B6" s="8" t="n">
        <v>260603</v>
      </c>
      <c r="C6" s="8" t="inlineStr">
        <is>
          <t>IC</t>
        </is>
      </c>
      <c r="D6" s="8" t="inlineStr">
        <is>
          <t>A016</t>
        </is>
      </c>
      <c r="E6" s="8" t="inlineStr">
        <is>
          <t>260603-06(IC)-A016.txt</t>
        </is>
      </c>
      <c r="F6" s="8" t="n">
        <v>2.8</v>
      </c>
      <c r="G6" s="8" t="n">
        <v>2.128924315537056</v>
      </c>
      <c r="H6" s="8" t="n">
        <v>2.221595393019583</v>
      </c>
      <c r="I6" s="8" t="n">
        <v>2.237983529731595</v>
      </c>
      <c r="J6" s="8" t="n">
        <v>2.392287844208367</v>
      </c>
      <c r="K6" s="8" t="n">
        <v>2.138507568120229</v>
      </c>
      <c r="L6" s="8" t="n">
        <v>1.941385145828723</v>
      </c>
      <c r="M6" s="8" t="n">
        <v>1.741127014616052</v>
      </c>
      <c r="N6" s="8" t="n">
        <v>1.631220274702956</v>
      </c>
      <c r="O6" s="8" t="n"/>
      <c r="P6" s="8" t="n"/>
      <c r="Q6" s="8" t="n"/>
    </row>
    <row r="7">
      <c r="A7" s="8" t="n">
        <v>3</v>
      </c>
      <c r="B7" s="8" t="n">
        <v>260610</v>
      </c>
      <c r="C7" s="8" t="inlineStr">
        <is>
          <t>M18</t>
        </is>
      </c>
      <c r="D7" s="8" t="inlineStr">
        <is>
          <t>A016</t>
        </is>
      </c>
      <c r="E7" s="8" t="inlineStr">
        <is>
          <t>260610-01(M18)-A016.txt</t>
        </is>
      </c>
      <c r="F7" s="8" t="n">
        <v>7</v>
      </c>
      <c r="G7" s="8" t="n">
        <v>1.379865257861587</v>
      </c>
      <c r="H7" s="8" t="n">
        <v>1.600490070765142</v>
      </c>
      <c r="I7" s="8" t="n">
        <v>1.418581530494487</v>
      </c>
      <c r="J7" s="8" t="n">
        <v>1.20600799612173</v>
      </c>
      <c r="K7" s="8" t="n">
        <v>1.030867444259011</v>
      </c>
      <c r="L7" s="8" t="n">
        <v>1.011849414019843</v>
      </c>
      <c r="M7" s="8" t="n">
        <v>1.089425697136063</v>
      </c>
      <c r="N7" s="8" t="n">
        <v>1.239382747486747</v>
      </c>
      <c r="O7" s="8" t="inlineStr">
        <is>
          <t>555 and 590 &lt; 0.95</t>
        </is>
      </c>
      <c r="P7" s="8" t="n"/>
      <c r="Q7" s="8" t="n"/>
    </row>
    <row r="8">
      <c r="A8" s="8" t="n">
        <v>3</v>
      </c>
      <c r="B8" s="8" t="n">
        <v>260610</v>
      </c>
      <c r="C8" s="8" t="inlineStr">
        <is>
          <t>M23</t>
        </is>
      </c>
      <c r="D8" s="8" t="inlineStr">
        <is>
          <t>A016</t>
        </is>
      </c>
      <c r="E8" s="8" t="inlineStr">
        <is>
          <t>260610-02(M23)-A016.txt</t>
        </is>
      </c>
      <c r="F8" s="8" t="n">
        <v>8.600000000000001</v>
      </c>
      <c r="G8" s="8" t="n">
        <v>1.331178166906837</v>
      </c>
      <c r="H8" s="8" t="n">
        <v>1.518031984989272</v>
      </c>
      <c r="I8" s="8" t="n">
        <v>1.431929086988495</v>
      </c>
      <c r="J8" s="8" t="n">
        <v>1.233809695484799</v>
      </c>
      <c r="K8" s="8" t="n">
        <v>1.03583748972303</v>
      </c>
      <c r="L8" s="8" t="n">
        <v>1.007728366582417</v>
      </c>
      <c r="M8" s="8" t="n">
        <v>1.070606619013124</v>
      </c>
      <c r="N8" s="8" t="n">
        <v>1.196892192776352</v>
      </c>
      <c r="O8" s="8" t="inlineStr">
        <is>
          <t>590: &lt; 0.95</t>
        </is>
      </c>
      <c r="P8" s="8" t="n"/>
      <c r="Q8" s="8" t="n"/>
    </row>
    <row r="9">
      <c r="A9" s="8" t="n">
        <v>3</v>
      </c>
      <c r="B9" s="8" t="n">
        <v>260610</v>
      </c>
      <c r="C9" s="8" t="inlineStr">
        <is>
          <t>M35</t>
        </is>
      </c>
      <c r="D9" s="8" t="inlineStr">
        <is>
          <t>A016</t>
        </is>
      </c>
      <c r="E9" s="8" t="inlineStr">
        <is>
          <t>260610-03(M35)-A016.txt</t>
        </is>
      </c>
      <c r="F9" s="8" t="n">
        <v>15.7</v>
      </c>
      <c r="G9" s="8" t="n">
        <v>1.64976292399042</v>
      </c>
      <c r="H9" s="8" t="n">
        <v>1.813128933252937</v>
      </c>
      <c r="I9" s="8" t="n">
        <v>1.823271298025377</v>
      </c>
      <c r="J9" s="8" t="n">
        <v>1.696535288178803</v>
      </c>
      <c r="K9" s="8" t="n">
        <v>1.396663145487408</v>
      </c>
      <c r="L9" s="8" t="n">
        <v>1.286440561429776</v>
      </c>
      <c r="M9" s="8" t="n">
        <v>1.299701342907736</v>
      </c>
      <c r="N9" s="8" t="n">
        <v>1.413971490678032</v>
      </c>
      <c r="O9" s="8" t="n"/>
      <c r="P9" s="8" t="n"/>
      <c r="Q9" s="8" t="n"/>
    </row>
    <row r="10">
      <c r="A10" s="8" t="n">
        <v>3</v>
      </c>
      <c r="B10" s="8" t="n">
        <v>260610</v>
      </c>
      <c r="C10" s="8" t="inlineStr">
        <is>
          <t>BRR</t>
        </is>
      </c>
      <c r="D10" s="8" t="inlineStr">
        <is>
          <t>A016</t>
        </is>
      </c>
      <c r="E10" s="8" t="inlineStr">
        <is>
          <t>260610-05(BRR)-A016.txt</t>
        </is>
      </c>
      <c r="F10" s="8" t="n">
        <v>9.100000000000001</v>
      </c>
      <c r="G10" s="8" t="n">
        <v>2.042583169242957</v>
      </c>
      <c r="H10" s="8" t="n">
        <v>2.428847134878061</v>
      </c>
      <c r="I10" s="8" t="n">
        <v>2.464890370276453</v>
      </c>
      <c r="J10" s="8" t="n">
        <v>2.150956376060996</v>
      </c>
      <c r="K10" s="8" t="n">
        <v>1.699454345276777</v>
      </c>
      <c r="L10" s="8" t="n">
        <v>1.524835832585139</v>
      </c>
      <c r="M10" s="8" t="n">
        <v>1.424967985491509</v>
      </c>
      <c r="N10" s="8" t="n">
        <v>1.423978311302663</v>
      </c>
      <c r="O10" s="8" t="n"/>
      <c r="P10" s="8" t="n"/>
      <c r="Q10" s="8" t="n"/>
    </row>
    <row r="11">
      <c r="A11" s="8" t="n">
        <v>3</v>
      </c>
      <c r="B11" s="8" t="n">
        <v>260610</v>
      </c>
      <c r="C11" s="8" t="inlineStr">
        <is>
          <t>NAV</t>
        </is>
      </c>
      <c r="D11" s="8" t="inlineStr">
        <is>
          <t>A016</t>
        </is>
      </c>
      <c r="E11" s="8" t="inlineStr">
        <is>
          <t>260610-06(NAV)-A016.txt</t>
        </is>
      </c>
      <c r="F11" s="8" t="n">
        <v>15</v>
      </c>
      <c r="G11" s="8" t="n">
        <v>2.355807005539069</v>
      </c>
      <c r="H11" s="8" t="n">
        <v>2.565590982655379</v>
      </c>
      <c r="I11" s="8" t="n">
        <v>2.76407315135053</v>
      </c>
      <c r="J11" s="8" t="n">
        <v>2.826443141778749</v>
      </c>
      <c r="K11" s="8" t="n">
        <v>2.475310856547004</v>
      </c>
      <c r="L11" s="8" t="n">
        <v>2.240795736308163</v>
      </c>
      <c r="M11" s="8" t="n">
        <v>2.078289169112451</v>
      </c>
      <c r="N11" s="8" t="n">
        <v>2.043505593532612</v>
      </c>
      <c r="O11" s="8" t="n"/>
      <c r="P11" s="8" t="n"/>
      <c r="Q11" s="8" t="n"/>
    </row>
    <row r="12">
      <c r="A12" s="8" t="n">
        <v>3</v>
      </c>
      <c r="B12" s="8" t="n">
        <v>260610</v>
      </c>
      <c r="C12" s="8" t="inlineStr">
        <is>
          <t>HB</t>
        </is>
      </c>
      <c r="D12" s="8" t="inlineStr">
        <is>
          <t>A016</t>
        </is>
      </c>
      <c r="E12" s="8" t="inlineStr">
        <is>
          <t>260610-07(HB)-A016.txt</t>
        </is>
      </c>
      <c r="F12" s="8" t="n">
        <v>13.3</v>
      </c>
      <c r="G12" s="8" t="n">
        <v>1.805335446668203</v>
      </c>
      <c r="H12" s="8" t="n">
        <v>1.981777129936151</v>
      </c>
      <c r="I12" s="8" t="n">
        <v>1.819222100036076</v>
      </c>
      <c r="J12" s="8" t="n">
        <v>1.90973928452583</v>
      </c>
      <c r="K12" s="8" t="n">
        <v>1.808768665785782</v>
      </c>
      <c r="L12" s="8" t="n">
        <v>1.614359807726419</v>
      </c>
      <c r="M12" s="8" t="n">
        <v>1.515963370614138</v>
      </c>
      <c r="N12" s="8" t="n">
        <v>1.525272608670133</v>
      </c>
      <c r="O12" s="8" t="inlineStr">
        <is>
          <t>415 and 445: &lt; 0.95</t>
        </is>
      </c>
      <c r="P12" s="8" t="n"/>
      <c r="Q12" s="8" t="n"/>
    </row>
    <row r="13">
      <c r="A13" s="8" t="n">
        <v>6</v>
      </c>
      <c r="B13" s="8" t="n">
        <v>260702</v>
      </c>
      <c r="C13" s="8" t="inlineStr">
        <is>
          <t>M18</t>
        </is>
      </c>
      <c r="D13" s="8" t="inlineStr">
        <is>
          <t>A017</t>
        </is>
      </c>
      <c r="E13" s="8" t="inlineStr">
        <is>
          <t>260702-01(M18)-A017.txt</t>
        </is>
      </c>
      <c r="F13" s="8" t="n">
        <v>3.2</v>
      </c>
      <c r="G13" s="8" t="n">
        <v>0.9443650426744342</v>
      </c>
      <c r="H13" s="8" t="n">
        <v>0.9418937703303457</v>
      </c>
      <c r="I13" s="8" t="n">
        <v>0.7857320584714194</v>
      </c>
      <c r="J13" s="8" t="n">
        <v>0.6657603537346064</v>
      </c>
      <c r="K13" s="8" t="n">
        <v>0.604996274054558</v>
      </c>
      <c r="L13" s="8" t="n">
        <v>0.6551314395811911</v>
      </c>
      <c r="M13" s="8" t="n">
        <v>0.7577168462721277</v>
      </c>
      <c r="N13" s="8" t="n">
        <v>0.9162545090817245</v>
      </c>
      <c r="O13" s="8" t="inlineStr">
        <is>
          <t>445 - 630 &lt; 0.95</t>
        </is>
      </c>
      <c r="P13" s="8" t="n"/>
      <c r="Q13" s="8" t="n"/>
    </row>
    <row r="14">
      <c r="A14" s="8" t="n">
        <v>6</v>
      </c>
      <c r="B14" s="8" t="n">
        <v>260702</v>
      </c>
      <c r="C14" s="8" t="inlineStr">
        <is>
          <t>M23-1</t>
        </is>
      </c>
      <c r="D14" s="8" t="inlineStr">
        <is>
          <t>A017</t>
        </is>
      </c>
      <c r="E14" s="8" t="inlineStr">
        <is>
          <t>260702-02(M23-1)-A017.txt</t>
        </is>
      </c>
      <c r="F14" s="8" t="n">
        <v>4.4</v>
      </c>
      <c r="G14" s="8" t="n">
        <v>1.285676486432471</v>
      </c>
      <c r="H14" s="8" t="n">
        <v>1.368582885426237</v>
      </c>
      <c r="I14" s="8" t="n">
        <v>1.281768208293563</v>
      </c>
      <c r="J14" s="8" t="n">
        <v>1.095770803688505</v>
      </c>
      <c r="K14" s="8" t="n">
        <v>0.9440307481832124</v>
      </c>
      <c r="L14" s="8" t="n">
        <v>0.9572875975008872</v>
      </c>
      <c r="M14" s="8" t="n">
        <v>1.055294705793405</v>
      </c>
      <c r="N14" s="8" t="n">
        <v>1.195782935307845</v>
      </c>
      <c r="O14" s="8" t="inlineStr">
        <is>
          <t>555, 590, and 630 &lt; 0.95</t>
        </is>
      </c>
      <c r="P14" s="8" t="n"/>
      <c r="Q14" s="8" t="n"/>
    </row>
    <row r="15">
      <c r="A15" s="8" t="n">
        <v>6</v>
      </c>
      <c r="B15" s="8" t="n">
        <v>260702</v>
      </c>
      <c r="C15" s="8" t="inlineStr">
        <is>
          <t>HB</t>
        </is>
      </c>
      <c r="D15" s="8" t="inlineStr">
        <is>
          <t>A017</t>
        </is>
      </c>
      <c r="E15" s="8" t="inlineStr">
        <is>
          <t>260702-07(HB)-A017.txt</t>
        </is>
      </c>
      <c r="F15" s="8" t="n">
        <v>17.2</v>
      </c>
      <c r="G15" s="8" t="n">
        <v>2.179497158621207</v>
      </c>
      <c r="H15" s="8" t="n">
        <v>2.406478403663884</v>
      </c>
      <c r="I15" s="8" t="n">
        <v>2.516427975706749</v>
      </c>
      <c r="J15" s="8" t="n">
        <v>2.315317701355612</v>
      </c>
      <c r="K15" s="8" t="n">
        <v>1.863512352412749</v>
      </c>
      <c r="L15" s="8" t="n">
        <v>1.732049973295525</v>
      </c>
      <c r="M15" s="8" t="n">
        <v>1.661283051863038</v>
      </c>
      <c r="N15" s="8" t="n">
        <v>1.712162966927451</v>
      </c>
      <c r="O15" s="8" t="inlineStr">
        <is>
          <t>415 and 445: &lt; 0.95</t>
        </is>
      </c>
      <c r="P15" s="8" t="n"/>
      <c r="Q15" s="8" t="n"/>
    </row>
    <row r="16">
      <c r="A16" s="8" t="n">
        <v>6</v>
      </c>
      <c r="B16" s="8" t="n">
        <v>260702</v>
      </c>
      <c r="C16" s="8" t="inlineStr">
        <is>
          <t>NAV</t>
        </is>
      </c>
      <c r="D16" s="8" t="inlineStr">
        <is>
          <t>A017</t>
        </is>
      </c>
      <c r="E16" s="8" t="inlineStr">
        <is>
          <t>260702-08(NAV)-A017.txt</t>
        </is>
      </c>
      <c r="F16" s="8" t="n">
        <v>22.13</v>
      </c>
      <c r="G16" s="8" t="n">
        <v>1.884321081569122</v>
      </c>
      <c r="H16" s="8" t="n">
        <v>2.056808721595424</v>
      </c>
      <c r="I16" s="8" t="n">
        <v>2.217578304403686</v>
      </c>
      <c r="J16" s="8" t="n">
        <v>2.083840501718183</v>
      </c>
      <c r="K16" s="8" t="n">
        <v>1.699203685301968</v>
      </c>
      <c r="L16" s="8" t="n">
        <v>1.569247011955525</v>
      </c>
      <c r="M16" s="8" t="n">
        <v>1.517314247244583</v>
      </c>
      <c r="N16" s="8" t="n">
        <v>1.57370456059545</v>
      </c>
      <c r="O16" s="8" t="n"/>
      <c r="P16" s="8" t="n"/>
      <c r="Q16" s="8" t="n"/>
    </row>
    <row r="17">
      <c r="A17" s="8" t="n">
        <v>7</v>
      </c>
      <c r="B17" s="8" t="n">
        <v>260709</v>
      </c>
      <c r="C17" s="8" t="inlineStr">
        <is>
          <t>NCF6</t>
        </is>
      </c>
      <c r="D17" s="8" t="inlineStr">
        <is>
          <t>A017</t>
        </is>
      </c>
      <c r="E17" s="8" t="inlineStr">
        <is>
          <t>260709-01(NCF6)-A017.txt</t>
        </is>
      </c>
      <c r="F17" s="8" t="n">
        <v>6.27</v>
      </c>
      <c r="G17" s="8" t="n">
        <v>2.395744717494278</v>
      </c>
      <c r="H17" s="8" t="n">
        <v>2.43855927075265</v>
      </c>
      <c r="I17" s="8" t="n">
        <v>2.828574108475663</v>
      </c>
      <c r="J17" s="8" t="n">
        <v>2.778509736008871</v>
      </c>
      <c r="K17" s="8" t="n">
        <v>2.670348214567499</v>
      </c>
      <c r="L17" s="8" t="n">
        <v>2.338441358728089</v>
      </c>
      <c r="M17" s="8" t="n">
        <v>2.165224231285376</v>
      </c>
      <c r="N17" s="8" t="n">
        <v>2.001010469062383</v>
      </c>
      <c r="O17" s="8" t="inlineStr">
        <is>
          <t>All bands except 445 &lt; 0.95</t>
        </is>
      </c>
      <c r="P17" s="8" t="n"/>
      <c r="Q17" s="8" t="n"/>
    </row>
    <row r="18">
      <c r="A18" s="8" t="n">
        <v>7</v>
      </c>
      <c r="B18" s="8" t="n">
        <v>260709</v>
      </c>
      <c r="C18" s="8" t="inlineStr">
        <is>
          <t>NC11</t>
        </is>
      </c>
      <c r="D18" s="8" t="inlineStr">
        <is>
          <t>A017</t>
        </is>
      </c>
      <c r="E18" s="8" t="inlineStr">
        <is>
          <t>260709-02(NC11)-A017.txt</t>
        </is>
      </c>
      <c r="F18" s="8" t="n">
        <v>23.47</v>
      </c>
      <c r="G18" s="8" t="n">
        <v>2.002085416671525</v>
      </c>
      <c r="H18" s="8" t="n">
        <v>2.269153248805199</v>
      </c>
      <c r="I18" s="8" t="n">
        <v>2.305134971276168</v>
      </c>
      <c r="J18" s="8" t="n">
        <v>2.09362490594388</v>
      </c>
      <c r="K18" s="8" t="n">
        <v>1.685522448285969</v>
      </c>
      <c r="L18" s="8" t="n">
        <v>1.608158841572532</v>
      </c>
      <c r="M18" s="8" t="n">
        <v>1.546749971258427</v>
      </c>
      <c r="N18" s="8" t="n">
        <v>1.542617540298647</v>
      </c>
      <c r="O18" s="8" t="n"/>
      <c r="P18" s="8" t="n"/>
      <c r="Q18" s="8" t="n"/>
    </row>
    <row r="19">
      <c r="A19" s="8" t="n">
        <v>7</v>
      </c>
      <c r="B19" s="8" t="n">
        <v>260709</v>
      </c>
      <c r="C19" s="8" t="inlineStr">
        <is>
          <t>BBT-1</t>
        </is>
      </c>
      <c r="D19" s="8" t="inlineStr">
        <is>
          <t>A017</t>
        </is>
      </c>
      <c r="E19" s="8" t="inlineStr">
        <is>
          <t>260709-05(BBT-1)-A017.txt</t>
        </is>
      </c>
      <c r="F19" s="8" t="n">
        <v>3.73</v>
      </c>
      <c r="G19" s="8" t="n">
        <v>2.870577096766758</v>
      </c>
      <c r="H19" s="8" t="n">
        <v>2.954997401162397</v>
      </c>
      <c r="I19" s="8" t="n">
        <v>3.249995967821038</v>
      </c>
      <c r="J19" s="8" t="n">
        <v>3.460460451527078</v>
      </c>
      <c r="K19" s="8" t="n">
        <v>3.083476388581417</v>
      </c>
      <c r="L19" s="8" t="n">
        <v>2.804612921443053</v>
      </c>
      <c r="M19" s="8" t="n">
        <v>2.435095367805614</v>
      </c>
      <c r="N19" s="8" t="n">
        <v>2.164501276385375</v>
      </c>
      <c r="O19" s="8" t="n"/>
      <c r="P19" s="8" t="n"/>
      <c r="Q19" s="8" t="n"/>
    </row>
    <row r="23">
      <c r="A23" s="2" t="n">
        <v>7</v>
      </c>
      <c r="B23" s="2" t="n">
        <v>260709</v>
      </c>
      <c r="C23" s="2" t="inlineStr">
        <is>
          <t>BBT-2</t>
        </is>
      </c>
      <c r="D23" s="2" t="inlineStr">
        <is>
          <t>A017</t>
        </is>
      </c>
      <c r="E23" s="2" t="inlineStr">
        <is>
          <t>260709-05(BBT-2)-A017.txt</t>
        </is>
      </c>
      <c r="F23" s="2" t="n">
        <v>3.73</v>
      </c>
      <c r="G23" s="2" t="n">
        <v>4.066170041276697</v>
      </c>
      <c r="H23" s="2" t="n">
        <v>4.926296335387327</v>
      </c>
      <c r="I23" s="2" t="n">
        <v>2.744846769162082</v>
      </c>
      <c r="J23" s="2" t="n">
        <v>4.394905771094604</v>
      </c>
      <c r="K23" s="2" t="n">
        <v>3.859240572888433</v>
      </c>
      <c r="L23" s="2" t="n">
        <v>2.700524891375898</v>
      </c>
      <c r="M23" s="2" t="n">
        <v>2.435374989024754</v>
      </c>
      <c r="N23" s="2" t="n">
        <v>2.341172942785968</v>
      </c>
      <c r="O23" s="2" t="inlineStr">
        <is>
          <t>480 &lt; 0.95</t>
        </is>
      </c>
    </row>
    <row r="25">
      <c r="A25" s="2" t="n">
        <v>2</v>
      </c>
      <c r="B25" s="2" t="n">
        <v>260603</v>
      </c>
      <c r="C25" s="2" t="inlineStr">
        <is>
          <t>NCF6</t>
        </is>
      </c>
      <c r="D25" s="2" t="inlineStr">
        <is>
          <t>A016</t>
        </is>
      </c>
      <c r="E25" s="2" t="inlineStr">
        <is>
          <t>260603-01(NCF6)-A016.txt</t>
        </is>
      </c>
      <c r="F25" s="2" t="n">
        <v>11.7</v>
      </c>
      <c r="G25" s="2" t="n">
        <v>2.398001285323188</v>
      </c>
      <c r="H25" s="2" t="n">
        <v>2.735971528554478</v>
      </c>
      <c r="I25" s="2" t="n">
        <v>2.900744774481116</v>
      </c>
      <c r="J25" s="2" t="n">
        <v>2.840495458794775</v>
      </c>
      <c r="K25" s="2" t="n">
        <v>2.22605740468887</v>
      </c>
      <c r="L25" s="2" t="n">
        <v>1.95505840522604</v>
      </c>
      <c r="M25" s="2" t="n">
        <v>1.657678111219038</v>
      </c>
      <c r="N25" s="2" t="n">
        <v>1.563810857831517</v>
      </c>
    </row>
    <row r="26">
      <c r="A26" s="2" t="n">
        <v>2</v>
      </c>
      <c r="B26" s="2" t="n">
        <v>260603</v>
      </c>
      <c r="C26" s="2" t="inlineStr">
        <is>
          <t>NC11</t>
        </is>
      </c>
      <c r="D26" s="2" t="inlineStr">
        <is>
          <t>A016</t>
        </is>
      </c>
      <c r="E26" s="2" t="inlineStr">
        <is>
          <t>260603-02(NC11)-A016.txt</t>
        </is>
      </c>
      <c r="F26" s="2" t="n">
        <v>4.2</v>
      </c>
      <c r="G26" s="2" t="n">
        <v>1.975433578458068</v>
      </c>
      <c r="H26" s="2" t="n">
        <v>2.302157934035755</v>
      </c>
      <c r="I26" s="2" t="n">
        <v>2.190608482283043</v>
      </c>
      <c r="J26" s="2" t="n">
        <v>1.794615055134144</v>
      </c>
      <c r="K26" s="2" t="n">
        <v>1.381167281653745</v>
      </c>
      <c r="L26" s="2" t="n">
        <v>1.237831548591606</v>
      </c>
      <c r="M26" s="2" t="n">
        <v>1.140692467974824</v>
      </c>
      <c r="N26" s="2" t="n">
        <v>1.084847406429358</v>
      </c>
    </row>
    <row r="27">
      <c r="A27" s="2" t="n">
        <v>2</v>
      </c>
      <c r="B27" s="2" t="n">
        <v>260603</v>
      </c>
      <c r="C27" s="2" t="inlineStr">
        <is>
          <t>ACME</t>
        </is>
      </c>
      <c r="D27" s="2" t="inlineStr">
        <is>
          <t>A016</t>
        </is>
      </c>
      <c r="E27" s="2" t="inlineStr">
        <is>
          <t>260603-03(ACME)-A016.txt</t>
        </is>
      </c>
      <c r="F27" s="2" t="n">
        <v>3.4</v>
      </c>
      <c r="G27" s="2" t="n">
        <v>1.997011975124206</v>
      </c>
      <c r="H27" s="2" t="n">
        <v>2.22334586237273</v>
      </c>
      <c r="I27" s="2" t="n">
        <v>2.268501074762895</v>
      </c>
      <c r="J27" s="2" t="n">
        <v>1.998628278172482</v>
      </c>
      <c r="K27" s="2" t="n">
        <v>1.634105292420164</v>
      </c>
      <c r="L27" s="2" t="n">
        <v>1.472562472820027</v>
      </c>
      <c r="M27" s="2" t="n">
        <v>1.31358448948606</v>
      </c>
      <c r="N27" s="2" t="n">
        <v>1.24621830269356</v>
      </c>
    </row>
    <row r="28">
      <c r="A28" s="2" t="n">
        <v>2</v>
      </c>
      <c r="B28" s="2" t="n">
        <v>260603</v>
      </c>
      <c r="C28" s="2" t="inlineStr">
        <is>
          <t>DP</t>
        </is>
      </c>
      <c r="D28" s="2" t="inlineStr">
        <is>
          <t>A016</t>
        </is>
      </c>
      <c r="E28" s="2" t="inlineStr">
        <is>
          <t>260603-04(DP)-A016.txt</t>
        </is>
      </c>
      <c r="F28" s="2" t="n">
        <v>2.4</v>
      </c>
      <c r="G28" s="2" t="n">
        <v>6.315459770934946</v>
      </c>
      <c r="H28" s="2" t="n">
        <v>6.841373107957645</v>
      </c>
      <c r="I28" s="2" t="n">
        <v>1.78785693083859</v>
      </c>
      <c r="J28" s="2" t="n">
        <v>1.784550613652188</v>
      </c>
      <c r="K28" s="2" t="n">
        <v>1.976579422722368</v>
      </c>
      <c r="L28" s="2" t="n">
        <v>1.739365531688934</v>
      </c>
      <c r="M28" s="2" t="n">
        <v>1.495911575468646</v>
      </c>
      <c r="N28" s="2" t="n">
        <v>1.404175709268874</v>
      </c>
    </row>
    <row r="29">
      <c r="A29" s="2" t="n">
        <v>2</v>
      </c>
      <c r="B29" s="2" t="n">
        <v>260603</v>
      </c>
      <c r="C29" s="2" t="inlineStr">
        <is>
          <t>BBT</t>
        </is>
      </c>
      <c r="D29" s="2" t="inlineStr">
        <is>
          <t>A016</t>
        </is>
      </c>
      <c r="E29" s="2" t="inlineStr">
        <is>
          <t>260603-05(BBT)-A016.txt</t>
        </is>
      </c>
      <c r="F29" s="2" t="n">
        <v>3.600000000000001</v>
      </c>
      <c r="G29" s="2" t="n">
        <v>2.341540089871185</v>
      </c>
      <c r="H29" s="2" t="n">
        <v>2.616888026272294</v>
      </c>
      <c r="I29" s="2" t="n">
        <v>2.750222467602378</v>
      </c>
      <c r="J29" s="2" t="n">
        <v>2.544083785663897</v>
      </c>
      <c r="K29" s="2" t="n">
        <v>2.052388581612445</v>
      </c>
      <c r="L29" s="2" t="n">
        <v>1.785192231861159</v>
      </c>
      <c r="M29" s="2" t="n">
        <v>1.527078692873785</v>
      </c>
      <c r="N29" s="2" t="n">
        <v>1.386235766140503</v>
      </c>
    </row>
    <row r="30">
      <c r="A30" s="2" t="n">
        <v>2</v>
      </c>
      <c r="B30" s="2" t="n">
        <v>260603</v>
      </c>
      <c r="C30" s="2" t="inlineStr">
        <is>
          <t>IC</t>
        </is>
      </c>
      <c r="D30" s="2" t="inlineStr">
        <is>
          <t>A016</t>
        </is>
      </c>
      <c r="E30" s="2" t="inlineStr">
        <is>
          <t>260603-06(IC)-A016.txt</t>
        </is>
      </c>
      <c r="F30" s="2" t="n">
        <v>2.8</v>
      </c>
      <c r="G30" s="2" t="n">
        <v>2.128924315537056</v>
      </c>
      <c r="H30" s="2" t="n">
        <v>2.221595393019583</v>
      </c>
      <c r="I30" s="2" t="n">
        <v>2.237983529731595</v>
      </c>
      <c r="J30" s="2" t="n">
        <v>2.392287844208367</v>
      </c>
      <c r="K30" s="2" t="n">
        <v>2.138507568120229</v>
      </c>
      <c r="L30" s="2" t="n">
        <v>1.941385145828723</v>
      </c>
      <c r="M30" s="2" t="n">
        <v>1.741127014616052</v>
      </c>
      <c r="N30" s="2" t="n">
        <v>1.631220274702956</v>
      </c>
    </row>
    <row r="31">
      <c r="A31" s="2" t="n">
        <v>3</v>
      </c>
      <c r="B31" s="2" t="n">
        <v>260610</v>
      </c>
      <c r="C31" s="2" t="inlineStr">
        <is>
          <t>M18</t>
        </is>
      </c>
      <c r="D31" s="2" t="inlineStr">
        <is>
          <t>A016</t>
        </is>
      </c>
      <c r="E31" s="2" t="inlineStr">
        <is>
          <t>260610-01(M18)-A016.txt</t>
        </is>
      </c>
      <c r="F31" s="2" t="n">
        <v>7</v>
      </c>
      <c r="G31" s="2" t="n">
        <v>1.379865257861587</v>
      </c>
      <c r="H31" s="2" t="n">
        <v>1.600490070765142</v>
      </c>
      <c r="I31" s="2" t="n">
        <v>1.418581530494487</v>
      </c>
      <c r="J31" s="2" t="n">
        <v>1.20600799612173</v>
      </c>
      <c r="K31" s="2" t="n">
        <v>1.030867444259011</v>
      </c>
      <c r="L31" s="2" t="n">
        <v>1.011849414019843</v>
      </c>
      <c r="M31" s="2" t="n">
        <v>1.089425697136063</v>
      </c>
      <c r="N31" s="2" t="n">
        <v>1.239382747486747</v>
      </c>
    </row>
    <row r="32">
      <c r="A32" s="2" t="n">
        <v>3</v>
      </c>
      <c r="B32" s="2" t="n">
        <v>260610</v>
      </c>
      <c r="C32" s="2" t="inlineStr">
        <is>
          <t>M23</t>
        </is>
      </c>
      <c r="D32" s="2" t="inlineStr">
        <is>
          <t>A016</t>
        </is>
      </c>
      <c r="E32" s="2" t="inlineStr">
        <is>
          <t>260610-02(M23)-A016.txt</t>
        </is>
      </c>
      <c r="F32" s="2" t="n">
        <v>8.600000000000001</v>
      </c>
      <c r="G32" s="2" t="n">
        <v>1.331178166906837</v>
      </c>
      <c r="H32" s="2" t="n">
        <v>1.518031984989272</v>
      </c>
      <c r="I32" s="2" t="n">
        <v>1.431929086988495</v>
      </c>
      <c r="J32" s="2" t="n">
        <v>1.233809695484799</v>
      </c>
      <c r="K32" s="2" t="n">
        <v>1.03583748972303</v>
      </c>
      <c r="L32" s="2" t="n">
        <v>1.007728366582417</v>
      </c>
      <c r="M32" s="2" t="n">
        <v>1.070606619013124</v>
      </c>
      <c r="N32" s="2" t="n">
        <v>1.196892192776352</v>
      </c>
    </row>
    <row r="33">
      <c r="A33" s="2" t="n">
        <v>3</v>
      </c>
      <c r="B33" s="2" t="n">
        <v>260610</v>
      </c>
      <c r="C33" s="2" t="inlineStr">
        <is>
          <t>M35</t>
        </is>
      </c>
      <c r="D33" s="2" t="inlineStr">
        <is>
          <t>A016</t>
        </is>
      </c>
      <c r="E33" s="2" t="inlineStr">
        <is>
          <t>260610-03(M35)-A016.txt</t>
        </is>
      </c>
      <c r="F33" s="2" t="n">
        <v>15.7</v>
      </c>
      <c r="G33" s="2" t="n">
        <v>1.64976292399042</v>
      </c>
      <c r="H33" s="2" t="n">
        <v>1.813128933252937</v>
      </c>
      <c r="I33" s="2" t="n">
        <v>1.823271298025377</v>
      </c>
      <c r="J33" s="2" t="n">
        <v>1.696535288178803</v>
      </c>
      <c r="K33" s="2" t="n">
        <v>1.396663145487408</v>
      </c>
      <c r="L33" s="2" t="n">
        <v>1.286440561429776</v>
      </c>
      <c r="M33" s="2" t="n">
        <v>1.299701342907736</v>
      </c>
      <c r="N33" s="2" t="n">
        <v>1.413971490678032</v>
      </c>
    </row>
    <row r="34">
      <c r="A34" s="2" t="n">
        <v>3</v>
      </c>
      <c r="B34" s="2" t="n">
        <v>260610</v>
      </c>
      <c r="C34" s="2" t="inlineStr">
        <is>
          <t>M54</t>
        </is>
      </c>
      <c r="D34" s="2" t="inlineStr">
        <is>
          <t>A016</t>
        </is>
      </c>
      <c r="E34" s="2" t="inlineStr">
        <is>
          <t>260610-04(M54)-A016.txt</t>
        </is>
      </c>
      <c r="F34" s="2" t="n">
        <v>15.6</v>
      </c>
      <c r="G34" s="2" t="n">
        <v>4.477276768894519</v>
      </c>
      <c r="H34" s="2" t="n">
        <v>4.649887836923983</v>
      </c>
      <c r="I34" s="2" t="n">
        <v>5.73101427824494</v>
      </c>
      <c r="J34" s="2" t="n">
        <v>5.614919217920806</v>
      </c>
      <c r="K34" s="2" t="n">
        <v>5.417745943539647</v>
      </c>
      <c r="L34" s="2" t="n">
        <v>5.080107630664981</v>
      </c>
      <c r="M34" s="2" t="n">
        <v>5.124743998506912</v>
      </c>
      <c r="N34" s="2" t="n">
        <v>5.584577621233135</v>
      </c>
    </row>
    <row r="35">
      <c r="A35" s="2" t="n">
        <v>3</v>
      </c>
      <c r="B35" s="2" t="n">
        <v>260610</v>
      </c>
      <c r="C35" s="2" t="inlineStr">
        <is>
          <t>BRR</t>
        </is>
      </c>
      <c r="D35" s="2" t="inlineStr">
        <is>
          <t>A016</t>
        </is>
      </c>
      <c r="E35" s="2" t="inlineStr">
        <is>
          <t>260610-05(BRR)-A016.txt</t>
        </is>
      </c>
      <c r="F35" s="2" t="n">
        <v>9.100000000000001</v>
      </c>
      <c r="G35" s="2" t="n">
        <v>2.042583169242957</v>
      </c>
      <c r="H35" s="2" t="n">
        <v>2.428847134878061</v>
      </c>
      <c r="I35" s="2" t="n">
        <v>2.464890370276453</v>
      </c>
      <c r="J35" s="2" t="n">
        <v>2.150956376060996</v>
      </c>
      <c r="K35" s="2" t="n">
        <v>1.699454345276777</v>
      </c>
      <c r="L35" s="2" t="n">
        <v>1.524835832585139</v>
      </c>
      <c r="M35" s="2" t="n">
        <v>1.424967985491509</v>
      </c>
      <c r="N35" s="2" t="n">
        <v>1.423978311302663</v>
      </c>
    </row>
    <row r="36">
      <c r="A36" s="2" t="n">
        <v>3</v>
      </c>
      <c r="B36" s="2" t="n">
        <v>260610</v>
      </c>
      <c r="C36" s="2" t="inlineStr">
        <is>
          <t>NAV</t>
        </is>
      </c>
      <c r="D36" s="2" t="inlineStr">
        <is>
          <t>A016</t>
        </is>
      </c>
      <c r="E36" s="2" t="inlineStr">
        <is>
          <t>260610-06(NAV)-A016.txt</t>
        </is>
      </c>
      <c r="F36" s="2" t="n">
        <v>15</v>
      </c>
      <c r="G36" s="2" t="n">
        <v>2.355807005539069</v>
      </c>
      <c r="H36" s="2" t="n">
        <v>2.565590982655379</v>
      </c>
      <c r="I36" s="2" t="n">
        <v>2.76407315135053</v>
      </c>
      <c r="J36" s="2" t="n">
        <v>2.826443141778749</v>
      </c>
      <c r="K36" s="2" t="n">
        <v>2.475310856547004</v>
      </c>
      <c r="L36" s="2" t="n">
        <v>2.240795736308163</v>
      </c>
      <c r="M36" s="2" t="n">
        <v>2.078289169112451</v>
      </c>
      <c r="N36" s="2" t="n">
        <v>2.043505593532612</v>
      </c>
    </row>
    <row r="37">
      <c r="A37" s="2" t="n">
        <v>3</v>
      </c>
      <c r="B37" s="2" t="n">
        <v>260610</v>
      </c>
      <c r="C37" s="2" t="inlineStr">
        <is>
          <t>HB</t>
        </is>
      </c>
      <c r="D37" s="2" t="inlineStr">
        <is>
          <t>A016</t>
        </is>
      </c>
      <c r="E37" s="2" t="inlineStr">
        <is>
          <t>260610-07(HB)-A016.txt</t>
        </is>
      </c>
      <c r="F37" s="2" t="n">
        <v>13.3</v>
      </c>
      <c r="G37" s="2" t="n">
        <v>1.805335446668203</v>
      </c>
      <c r="H37" s="2" t="n">
        <v>1.981777129936151</v>
      </c>
      <c r="I37" s="2" t="n">
        <v>1.819222100036076</v>
      </c>
      <c r="J37" s="2" t="n">
        <v>1.90973928452583</v>
      </c>
      <c r="K37" s="2" t="n">
        <v>1.808768665785782</v>
      </c>
      <c r="L37" s="2" t="n">
        <v>1.614359807726419</v>
      </c>
      <c r="M37" s="2" t="n">
        <v>1.515963370614138</v>
      </c>
      <c r="N37" s="2" t="n">
        <v>1.525272608670133</v>
      </c>
    </row>
    <row r="38">
      <c r="A38" s="2" t="n">
        <v>6</v>
      </c>
      <c r="B38" s="2" t="n">
        <v>260702</v>
      </c>
      <c r="C38" s="2" t="inlineStr">
        <is>
          <t>M18</t>
        </is>
      </c>
      <c r="D38" s="2" t="inlineStr">
        <is>
          <t>A017</t>
        </is>
      </c>
      <c r="E38" s="2" t="inlineStr">
        <is>
          <t>260702-01(M18)-A017.txt</t>
        </is>
      </c>
      <c r="F38" s="2" t="n">
        <v>3.2</v>
      </c>
      <c r="G38" s="2" t="n">
        <v>0.9443650426744342</v>
      </c>
      <c r="H38" s="2" t="n">
        <v>0.9418937703303457</v>
      </c>
      <c r="I38" s="2" t="n">
        <v>0.7857320584714194</v>
      </c>
      <c r="J38" s="2" t="n">
        <v>0.6657603537346064</v>
      </c>
      <c r="K38" s="2" t="n">
        <v>0.604996274054558</v>
      </c>
      <c r="L38" s="2" t="n">
        <v>0.6551314395811911</v>
      </c>
      <c r="M38" s="2" t="n">
        <v>0.7577168462721277</v>
      </c>
      <c r="N38" s="2" t="n">
        <v>0.9162545090817245</v>
      </c>
    </row>
    <row r="39">
      <c r="A39" s="2" t="n">
        <v>6</v>
      </c>
      <c r="B39" s="2" t="n">
        <v>260702</v>
      </c>
      <c r="C39" s="2" t="inlineStr">
        <is>
          <t>M23-1</t>
        </is>
      </c>
      <c r="D39" s="2" t="inlineStr">
        <is>
          <t>A017</t>
        </is>
      </c>
      <c r="E39" s="2" t="inlineStr">
        <is>
          <t>260702-02(M23-1)-A017.txt</t>
        </is>
      </c>
      <c r="F39" s="2" t="n">
        <v>4.4</v>
      </c>
      <c r="G39" s="2" t="n">
        <v>1.285676486432471</v>
      </c>
      <c r="H39" s="2" t="n">
        <v>1.368582885426237</v>
      </c>
      <c r="I39" s="2" t="n">
        <v>1.281768208293563</v>
      </c>
      <c r="J39" s="2" t="n">
        <v>1.095770803688505</v>
      </c>
      <c r="K39" s="2" t="n">
        <v>0.9440307481832124</v>
      </c>
      <c r="L39" s="2" t="n">
        <v>0.9572875975008872</v>
      </c>
      <c r="M39" s="2" t="n">
        <v>1.055294705793405</v>
      </c>
      <c r="N39" s="2" t="n">
        <v>1.195782935307845</v>
      </c>
    </row>
    <row r="40">
      <c r="A40" s="2" t="n">
        <v>6</v>
      </c>
      <c r="B40" s="2" t="n">
        <v>260702</v>
      </c>
      <c r="C40" s="2" t="inlineStr">
        <is>
          <t>M23-2</t>
        </is>
      </c>
      <c r="D40" s="2" t="inlineStr">
        <is>
          <t>A017</t>
        </is>
      </c>
      <c r="E40" s="2" t="inlineStr">
        <is>
          <t>260702-02(M23-2)-A017.txt</t>
        </is>
      </c>
      <c r="F40" s="2" t="n">
        <v>4.4</v>
      </c>
      <c r="G40" s="2" t="n">
        <v>1.446478859918053</v>
      </c>
      <c r="H40" s="2" t="n">
        <v>1.230333379657803</v>
      </c>
      <c r="I40" s="2" t="n">
        <v>1.030702633602585</v>
      </c>
      <c r="J40" s="2" t="n">
        <v>0.8196476486252618</v>
      </c>
      <c r="K40" s="2" t="n">
        <v>0.6204048200822557</v>
      </c>
      <c r="L40" s="2" t="n">
        <v>0.7405892971082522</v>
      </c>
      <c r="M40" s="2" t="n">
        <v>0.7070308406213313</v>
      </c>
      <c r="N40" s="2" t="n">
        <v>0.8941686228132563</v>
      </c>
    </row>
    <row r="41">
      <c r="A41" s="2" t="n">
        <v>6</v>
      </c>
      <c r="B41" s="2" t="n">
        <v>260702</v>
      </c>
      <c r="C41" s="2" t="inlineStr">
        <is>
          <t>M35</t>
        </is>
      </c>
      <c r="D41" s="2" t="inlineStr">
        <is>
          <t>A017</t>
        </is>
      </c>
      <c r="E41" s="2" t="inlineStr">
        <is>
          <t>260702-03(M35)-A017.txt</t>
        </is>
      </c>
      <c r="F41" s="2" t="n">
        <v>13.87</v>
      </c>
      <c r="G41" s="2" t="n">
        <v>1.370280866127208</v>
      </c>
      <c r="H41" s="2" t="n">
        <v>1.303943262477546</v>
      </c>
      <c r="I41" s="2" t="n">
        <v>1.059058386781048</v>
      </c>
      <c r="J41" s="2" t="n">
        <v>0.7097695261386756</v>
      </c>
      <c r="K41" s="2" t="n">
        <v>1.024256900692535</v>
      </c>
      <c r="L41" s="2" t="n">
        <v>1.003491490649522</v>
      </c>
      <c r="M41" s="2" t="n">
        <v>1.061712201735622</v>
      </c>
      <c r="N41" s="2" t="n">
        <v>1.061092657774992</v>
      </c>
    </row>
    <row r="42">
      <c r="A42" s="2" t="n">
        <v>6</v>
      </c>
      <c r="B42" s="2" t="n">
        <v>260702</v>
      </c>
      <c r="C42" s="2" t="inlineStr">
        <is>
          <t>M54</t>
        </is>
      </c>
      <c r="D42" s="2" t="inlineStr">
        <is>
          <t>A017</t>
        </is>
      </c>
      <c r="E42" s="2" t="inlineStr">
        <is>
          <t>260702-04(M54)-A017.txt</t>
        </is>
      </c>
      <c r="F42" s="2" t="n">
        <v>26.2</v>
      </c>
      <c r="G42" s="2" t="n">
        <v>2.101183170277964</v>
      </c>
      <c r="H42" s="2" t="n">
        <v>2.322434102814826</v>
      </c>
      <c r="I42" s="2" t="n">
        <v>2.124132874606665</v>
      </c>
      <c r="J42" s="2" t="n">
        <v>1.679584580054993</v>
      </c>
      <c r="K42" s="2" t="n">
        <v>1.330934842177069</v>
      </c>
      <c r="L42" s="2" t="n">
        <v>1.334808408204545</v>
      </c>
      <c r="M42" s="2" t="n">
        <v>1.247952597041791</v>
      </c>
      <c r="N42" s="2" t="n">
        <v>1.458121529612546</v>
      </c>
    </row>
    <row r="43">
      <c r="A43" s="2" t="n">
        <v>6</v>
      </c>
      <c r="B43" s="2" t="n">
        <v>260702</v>
      </c>
      <c r="C43" s="2" t="inlineStr">
        <is>
          <t>BRR</t>
        </is>
      </c>
      <c r="D43" s="2" t="inlineStr">
        <is>
          <t>A017</t>
        </is>
      </c>
      <c r="E43" s="2" t="inlineStr">
        <is>
          <t>260702-05(BRR)-A017.txt</t>
        </is>
      </c>
      <c r="F43" s="2" t="n">
        <v>38.73</v>
      </c>
      <c r="G43" s="2" t="n">
        <v>2.394284651501315</v>
      </c>
      <c r="H43" s="2" t="n">
        <v>2.77479902619395</v>
      </c>
      <c r="I43" s="2" t="n">
        <v>2.754989461975558</v>
      </c>
      <c r="J43" s="2" t="n">
        <v>2.426931170010592</v>
      </c>
      <c r="K43" s="2" t="n">
        <v>1.86049561548742</v>
      </c>
      <c r="L43" s="2" t="n">
        <v>1.678547350004562</v>
      </c>
      <c r="M43" s="2" t="n">
        <v>1.61973350288713</v>
      </c>
      <c r="N43" s="2" t="n">
        <v>1.718017349468165</v>
      </c>
    </row>
    <row r="44">
      <c r="A44" s="2" t="n">
        <v>6</v>
      </c>
      <c r="B44" s="2" t="n">
        <v>260702</v>
      </c>
      <c r="C44" s="2" t="inlineStr">
        <is>
          <t>M61</t>
        </is>
      </c>
      <c r="D44" s="2" t="inlineStr">
        <is>
          <t>A017</t>
        </is>
      </c>
      <c r="E44" s="2" t="inlineStr">
        <is>
          <t>260702-06(M61)-A017.txt</t>
        </is>
      </c>
      <c r="F44" s="2" t="n">
        <v>25</v>
      </c>
      <c r="G44" s="2" t="n">
        <v>2.033427040185659</v>
      </c>
      <c r="H44" s="2" t="n">
        <v>2.083054146852484</v>
      </c>
      <c r="I44" s="2" t="n">
        <v>1.762018739611686</v>
      </c>
      <c r="J44" s="2" t="n">
        <v>1.12992642121267</v>
      </c>
      <c r="K44" s="2" t="n">
        <v>0.9772989572454672</v>
      </c>
      <c r="L44" s="2" t="n">
        <v>0.895784990538922</v>
      </c>
      <c r="M44" s="2" t="n">
        <v>0.6592985424764589</v>
      </c>
      <c r="N44" s="2" t="n">
        <v>0.860975582058169</v>
      </c>
    </row>
    <row r="45">
      <c r="A45" s="2" t="n">
        <v>6</v>
      </c>
      <c r="B45" s="2" t="n">
        <v>260702</v>
      </c>
      <c r="C45" s="2" t="inlineStr">
        <is>
          <t>HB</t>
        </is>
      </c>
      <c r="D45" s="2" t="inlineStr">
        <is>
          <t>A017</t>
        </is>
      </c>
      <c r="E45" s="2" t="inlineStr">
        <is>
          <t>260702-07(HB)-A017.txt</t>
        </is>
      </c>
      <c r="F45" s="2" t="n">
        <v>17.2</v>
      </c>
      <c r="G45" s="2" t="n">
        <v>2.179497158621207</v>
      </c>
      <c r="H45" s="2" t="n">
        <v>2.406478403663884</v>
      </c>
      <c r="I45" s="2" t="n">
        <v>2.516427975706749</v>
      </c>
      <c r="J45" s="2" t="n">
        <v>2.315317701355612</v>
      </c>
      <c r="K45" s="2" t="n">
        <v>1.863512352412749</v>
      </c>
      <c r="L45" s="2" t="n">
        <v>1.732049973295525</v>
      </c>
      <c r="M45" s="2" t="n">
        <v>1.661283051863038</v>
      </c>
      <c r="N45" s="2" t="n">
        <v>1.712162966927451</v>
      </c>
    </row>
    <row r="46">
      <c r="A46" s="2" t="n">
        <v>6</v>
      </c>
      <c r="B46" s="2" t="n">
        <v>260702</v>
      </c>
      <c r="C46" s="2" t="inlineStr">
        <is>
          <t>NAV</t>
        </is>
      </c>
      <c r="D46" s="2" t="inlineStr">
        <is>
          <t>A017</t>
        </is>
      </c>
      <c r="E46" s="2" t="inlineStr">
        <is>
          <t>260702-08(NAV)-A017.txt</t>
        </is>
      </c>
      <c r="F46" s="2" t="n">
        <v>22.13</v>
      </c>
      <c r="G46" s="2" t="n">
        <v>1.884321081569122</v>
      </c>
      <c r="H46" s="2" t="n">
        <v>2.056808721595424</v>
      </c>
      <c r="I46" s="2" t="n">
        <v>2.217578304403686</v>
      </c>
      <c r="J46" s="2" t="n">
        <v>2.083840501718183</v>
      </c>
      <c r="K46" s="2" t="n">
        <v>1.699203685301968</v>
      </c>
      <c r="L46" s="2" t="n">
        <v>1.569247011955525</v>
      </c>
      <c r="M46" s="2" t="n">
        <v>1.517314247244583</v>
      </c>
      <c r="N46" s="2" t="n">
        <v>1.57370456059545</v>
      </c>
    </row>
    <row r="47">
      <c r="A47" s="2" t="n">
        <v>7</v>
      </c>
      <c r="B47" s="2" t="n">
        <v>260709</v>
      </c>
      <c r="C47" s="2" t="inlineStr">
        <is>
          <t>NCF6</t>
        </is>
      </c>
      <c r="D47" s="2" t="inlineStr">
        <is>
          <t>A017</t>
        </is>
      </c>
      <c r="E47" s="2" t="inlineStr">
        <is>
          <t>260709-01(NCF6)-A017.txt</t>
        </is>
      </c>
      <c r="F47" s="2" t="n">
        <v>6.27</v>
      </c>
      <c r="G47" s="2" t="n">
        <v>2.395744717494278</v>
      </c>
      <c r="H47" s="2" t="n">
        <v>2.43855927075265</v>
      </c>
      <c r="I47" s="2" t="n">
        <v>2.828574108475663</v>
      </c>
      <c r="J47" s="2" t="n">
        <v>2.778509736008871</v>
      </c>
      <c r="K47" s="2" t="n">
        <v>2.670348214567499</v>
      </c>
      <c r="L47" s="2" t="n">
        <v>2.338441358728089</v>
      </c>
      <c r="M47" s="2" t="n">
        <v>2.165224231285376</v>
      </c>
      <c r="N47" s="2" t="n">
        <v>2.001010469062383</v>
      </c>
    </row>
    <row r="48">
      <c r="A48" s="2" t="n">
        <v>7</v>
      </c>
      <c r="B48" s="2" t="n">
        <v>260709</v>
      </c>
      <c r="C48" s="2" t="inlineStr">
        <is>
          <t>NC11</t>
        </is>
      </c>
      <c r="D48" s="2" t="inlineStr">
        <is>
          <t>A017</t>
        </is>
      </c>
      <c r="E48" s="2" t="inlineStr">
        <is>
          <t>260709-02(NC11)-A017.txt</t>
        </is>
      </c>
      <c r="F48" s="2" t="n">
        <v>23.47</v>
      </c>
      <c r="G48" s="2" t="n">
        <v>2.002085416671525</v>
      </c>
      <c r="H48" s="2" t="n">
        <v>2.269153248805199</v>
      </c>
      <c r="I48" s="2" t="n">
        <v>2.305134971276168</v>
      </c>
      <c r="J48" s="2" t="n">
        <v>2.09362490594388</v>
      </c>
      <c r="K48" s="2" t="n">
        <v>1.685522448285969</v>
      </c>
      <c r="L48" s="2" t="n">
        <v>1.608158841572532</v>
      </c>
      <c r="M48" s="2" t="n">
        <v>1.546749971258427</v>
      </c>
      <c r="N48" s="2" t="n">
        <v>1.542617540298647</v>
      </c>
    </row>
    <row r="49">
      <c r="A49" s="2" t="n">
        <v>7</v>
      </c>
      <c r="B49" s="2" t="n">
        <v>260709</v>
      </c>
      <c r="C49" s="2" t="inlineStr">
        <is>
          <t>ACME</t>
        </is>
      </c>
      <c r="D49" s="2" t="inlineStr">
        <is>
          <t>A017</t>
        </is>
      </c>
      <c r="E49" s="2" t="inlineStr">
        <is>
          <t>260709-03(ACME)-A017.txt</t>
        </is>
      </c>
      <c r="F49" s="2" t="n">
        <v>8.550000000000001</v>
      </c>
      <c r="G49" s="2" t="n">
        <v>1.89666083335259</v>
      </c>
      <c r="H49" s="2" t="n">
        <v>2.299209642932269</v>
      </c>
      <c r="I49" s="2" t="n">
        <v>2.421192164900861</v>
      </c>
      <c r="J49" s="2" t="n">
        <v>2.183191112311702</v>
      </c>
      <c r="K49" s="2" t="n">
        <v>1.663540375968204</v>
      </c>
      <c r="L49" s="2" t="n">
        <v>1.429532326586509</v>
      </c>
      <c r="M49" s="2" t="n">
        <v>1.259992381217562</v>
      </c>
      <c r="N49" s="2" t="n">
        <v>1.163053017326227</v>
      </c>
    </row>
    <row r="50">
      <c r="A50" s="2" t="n">
        <v>7</v>
      </c>
      <c r="B50" s="2" t="n">
        <v>260709</v>
      </c>
      <c r="C50" s="2" t="inlineStr">
        <is>
          <t>DP</t>
        </is>
      </c>
      <c r="D50" s="2" t="inlineStr">
        <is>
          <t>A017</t>
        </is>
      </c>
      <c r="E50" s="2" t="inlineStr">
        <is>
          <t>260709-04(DP)-A017.txt</t>
        </is>
      </c>
      <c r="F50" s="2" t="n">
        <v>3.23</v>
      </c>
      <c r="G50" s="2" t="n">
        <v>4.412141254076499</v>
      </c>
      <c r="H50" s="2" t="n">
        <v>3.875627275261839</v>
      </c>
      <c r="I50" s="2" t="n">
        <v>2.430389491117145</v>
      </c>
      <c r="J50" s="2" t="n">
        <v>2.264446064377185</v>
      </c>
      <c r="K50" s="2" t="n">
        <v>0.2903997118886564</v>
      </c>
      <c r="L50" s="2" t="n">
        <v>0.1366606178521464</v>
      </c>
      <c r="M50" s="2" t="n">
        <v>2.057171533563289</v>
      </c>
      <c r="N50" s="2" t="n">
        <v>0.2189948984422697</v>
      </c>
    </row>
    <row r="51">
      <c r="A51" s="2" t="n">
        <v>7</v>
      </c>
      <c r="B51" s="2" t="n">
        <v>260709</v>
      </c>
      <c r="C51" s="2" t="inlineStr">
        <is>
          <t>BBT-1</t>
        </is>
      </c>
      <c r="D51" s="2" t="inlineStr">
        <is>
          <t>A017</t>
        </is>
      </c>
      <c r="E51" s="2" t="inlineStr">
        <is>
          <t>260709-05(BBT-1)-A017.txt</t>
        </is>
      </c>
      <c r="F51" s="2" t="n">
        <v>3.73</v>
      </c>
      <c r="G51" s="2" t="n">
        <v>2.870577096766758</v>
      </c>
      <c r="H51" s="2" t="n">
        <v>2.954997401162397</v>
      </c>
      <c r="I51" s="2" t="n">
        <v>3.249995967821038</v>
      </c>
      <c r="J51" s="2" t="n">
        <v>3.460460451527078</v>
      </c>
      <c r="K51" s="2" t="n">
        <v>3.083476388581417</v>
      </c>
      <c r="L51" s="2" t="n">
        <v>2.804612921443053</v>
      </c>
      <c r="M51" s="2" t="n">
        <v>2.435095367805614</v>
      </c>
      <c r="N51" s="2" t="n">
        <v>2.164501276385375</v>
      </c>
    </row>
    <row r="52">
      <c r="A52" s="2" t="n">
        <v>7</v>
      </c>
      <c r="B52" s="2" t="n">
        <v>260709</v>
      </c>
      <c r="C52" s="2" t="inlineStr">
        <is>
          <t>BBT-2</t>
        </is>
      </c>
      <c r="D52" s="2" t="inlineStr">
        <is>
          <t>A017</t>
        </is>
      </c>
      <c r="E52" s="2" t="inlineStr">
        <is>
          <t>260709-05(BBT-2)-A017.txt</t>
        </is>
      </c>
      <c r="F52" s="2" t="n">
        <v>3.73</v>
      </c>
      <c r="G52" s="2" t="n">
        <v>4.066170041276697</v>
      </c>
      <c r="H52" s="2" t="n">
        <v>4.926296335387327</v>
      </c>
      <c r="I52" s="2" t="n">
        <v>2.744846769162082</v>
      </c>
      <c r="J52" s="2" t="n">
        <v>4.394905771094604</v>
      </c>
      <c r="K52" s="2" t="n">
        <v>3.859240572888433</v>
      </c>
      <c r="L52" s="2" t="n">
        <v>2.700524891375898</v>
      </c>
      <c r="M52" s="2" t="n">
        <v>2.435374989024754</v>
      </c>
      <c r="N52" s="2" t="n">
        <v>2.341172942785968</v>
      </c>
    </row>
    <row r="53">
      <c r="A53" s="2" t="n">
        <v>7</v>
      </c>
      <c r="B53" s="2" t="n">
        <v>260709</v>
      </c>
      <c r="C53" s="2" t="inlineStr">
        <is>
          <t>IC</t>
        </is>
      </c>
      <c r="D53" s="2" t="inlineStr">
        <is>
          <t>A017</t>
        </is>
      </c>
      <c r="E53" s="2" t="inlineStr">
        <is>
          <t>260709-06(IC)-A017.txt</t>
        </is>
      </c>
      <c r="F53" s="2" t="n">
        <v>6.53</v>
      </c>
      <c r="G53" s="2" t="n">
        <v>6.356325866910757</v>
      </c>
      <c r="H53" s="2" t="n">
        <v>7.048041342601362</v>
      </c>
      <c r="I53" s="2" t="n">
        <v>3.857509164821858</v>
      </c>
      <c r="J53" s="2" t="n">
        <v>4.115697732381734</v>
      </c>
      <c r="K53" s="2" t="n">
        <v>1.944705075814606</v>
      </c>
      <c r="L53" s="2" t="n">
        <v>1.188856333208564</v>
      </c>
      <c r="M53" s="2" t="n">
        <v>0.3472321768814907</v>
      </c>
      <c r="N53" s="2" t="n">
        <v>-0.1070628011324938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H24" sqref="H24"/>
    </sheetView>
  </sheetViews>
  <sheetFormatPr baseColWidth="10" defaultRowHeight="15"/>
  <sheetData>
    <row r="1">
      <c r="A1" t="inlineStr">
        <is>
          <t>SUMMARY OUTPUT</t>
        </is>
      </c>
    </row>
    <row r="2" ht="16" customHeight="1" thickBot="1"/>
    <row r="3">
      <c r="A3" s="5" t="inlineStr">
        <is>
          <t>Regression Statistics</t>
        </is>
      </c>
      <c r="B3" s="5" t="n"/>
    </row>
    <row r="4">
      <c r="A4" t="inlineStr">
        <is>
          <t>Multiple R</t>
        </is>
      </c>
      <c r="B4" t="n">
        <v>0.7615119394546483</v>
      </c>
    </row>
    <row r="5">
      <c r="A5" t="inlineStr">
        <is>
          <t>R Square</t>
        </is>
      </c>
      <c r="B5" t="n">
        <v>0.57990043393198</v>
      </c>
    </row>
    <row r="6">
      <c r="A6" t="inlineStr">
        <is>
          <t>Adjusted R Square</t>
        </is>
      </c>
      <c r="B6" t="n">
        <v>-0.05024891517005003</v>
      </c>
    </row>
    <row r="7">
      <c r="A7" t="inlineStr">
        <is>
          <t>Standard Error</t>
        </is>
      </c>
      <c r="B7" t="n">
        <v>3.580948082736551</v>
      </c>
    </row>
    <row r="8" ht="16" customHeight="1" thickBot="1">
      <c r="A8" s="3" t="inlineStr">
        <is>
          <t>Observations</t>
        </is>
      </c>
      <c r="B8" s="3" t="n">
        <v>6</v>
      </c>
    </row>
    <row r="10" ht="16" customHeight="1" thickBot="1">
      <c r="A10" t="inlineStr">
        <is>
          <t>ANOVA</t>
        </is>
      </c>
    </row>
    <row r="11">
      <c r="A11" s="4" t="n"/>
      <c r="B11" s="4" t="inlineStr">
        <is>
          <t>df</t>
        </is>
      </c>
      <c r="C11" s="4" t="inlineStr">
        <is>
          <t>SS</t>
        </is>
      </c>
      <c r="D11" s="4" t="inlineStr">
        <is>
          <t>MS</t>
        </is>
      </c>
      <c r="E11" s="4" t="inlineStr">
        <is>
          <t>F</t>
        </is>
      </c>
      <c r="F11" s="4" t="inlineStr">
        <is>
          <t>Significance F</t>
        </is>
      </c>
    </row>
    <row r="12">
      <c r="A12" t="inlineStr">
        <is>
          <t>Regression</t>
        </is>
      </c>
      <c r="B12" t="n">
        <v>3</v>
      </c>
      <c r="C12" t="n">
        <v>35.40195499082415</v>
      </c>
      <c r="D12" t="n">
        <v>11.80065166360805</v>
      </c>
      <c r="E12" t="n">
        <v>0.9202587208228412</v>
      </c>
      <c r="F12" t="n">
        <v>0.5583988958658657</v>
      </c>
    </row>
    <row r="13">
      <c r="A13" t="inlineStr">
        <is>
          <t>Residual</t>
        </is>
      </c>
      <c r="B13" t="n">
        <v>2</v>
      </c>
      <c r="C13" t="n">
        <v>25.64637834250916</v>
      </c>
      <c r="D13" t="n">
        <v>12.82318917125458</v>
      </c>
    </row>
    <row r="14" ht="16" customHeight="1" thickBot="1">
      <c r="A14" s="3" t="inlineStr">
        <is>
          <t>Total</t>
        </is>
      </c>
      <c r="B14" s="3" t="n">
        <v>5</v>
      </c>
      <c r="C14" s="3" t="n">
        <v>61.04833333333332</v>
      </c>
      <c r="D14" s="3" t="n"/>
      <c r="E14" s="3" t="n"/>
      <c r="F14" s="3" t="n"/>
    </row>
    <row r="15" ht="16" customHeight="1" thickBot="1"/>
    <row r="16">
      <c r="A16" s="4" t="n"/>
      <c r="B16" s="4" t="inlineStr">
        <is>
          <t>Coefficients</t>
        </is>
      </c>
      <c r="C16" s="4" t="inlineStr">
        <is>
          <t>Standard Error</t>
        </is>
      </c>
      <c r="D16" s="4" t="inlineStr">
        <is>
          <t>t Stat</t>
        </is>
      </c>
      <c r="E16" s="4" t="inlineStr">
        <is>
          <t>P-value</t>
        </is>
      </c>
      <c r="F16" s="4" t="inlineStr">
        <is>
          <t>Lower 95%</t>
        </is>
      </c>
      <c r="G16" s="4" t="inlineStr">
        <is>
          <t>Upper 95%</t>
        </is>
      </c>
      <c r="H16" s="4" t="inlineStr">
        <is>
          <t>Lower 95.0%</t>
        </is>
      </c>
      <c r="I16" s="4" t="inlineStr">
        <is>
          <t>Upper 95.0%</t>
        </is>
      </c>
    </row>
    <row r="17">
      <c r="A17" t="inlineStr">
        <is>
          <t>Intercept</t>
        </is>
      </c>
      <c r="B17" t="n">
        <v>-15.39919741910634</v>
      </c>
      <c r="C17" t="n">
        <v>14.17769392292354</v>
      </c>
      <c r="D17" t="n">
        <v>-1.086156712285048</v>
      </c>
      <c r="E17" t="n">
        <v>0.3908883150236404</v>
      </c>
      <c r="F17" t="n">
        <v>-76.40089087812571</v>
      </c>
      <c r="G17" t="n">
        <v>45.60249603991303</v>
      </c>
      <c r="H17" t="n">
        <v>-76.40089087812571</v>
      </c>
      <c r="I17" t="n">
        <v>45.60249603991303</v>
      </c>
    </row>
    <row r="18">
      <c r="A18" t="inlineStr">
        <is>
          <t>415nm</t>
        </is>
      </c>
      <c r="B18" t="n">
        <v>0.7869912782312527</v>
      </c>
      <c r="C18" t="n">
        <v>1.526514710772628</v>
      </c>
      <c r="D18" t="n">
        <v>0.5155477852112712</v>
      </c>
      <c r="E18" t="n">
        <v>0.6575011294048257</v>
      </c>
      <c r="F18" t="n">
        <v>-5.781071409077309</v>
      </c>
      <c r="G18" t="n">
        <v>7.355053965539814</v>
      </c>
      <c r="H18" t="n">
        <v>-5.781071409077309</v>
      </c>
      <c r="I18" t="n">
        <v>7.355053965539814</v>
      </c>
    </row>
    <row r="19">
      <c r="A19" t="inlineStr">
        <is>
          <t>480nm</t>
        </is>
      </c>
      <c r="B19" t="n">
        <v>8.671479720994492</v>
      </c>
      <c r="C19" t="n">
        <v>6.897666395916553</v>
      </c>
      <c r="D19" t="n">
        <v>1.25716136781101</v>
      </c>
      <c r="E19" t="n">
        <v>0.335611762739332</v>
      </c>
      <c r="F19" t="n">
        <v>-21.00678342629701</v>
      </c>
      <c r="G19" t="n">
        <v>38.34974286828599</v>
      </c>
      <c r="H19" t="n">
        <v>-21.00678342629701</v>
      </c>
      <c r="I19" t="n">
        <v>38.34974286828599</v>
      </c>
    </row>
    <row r="20" ht="16" customHeight="1" thickBot="1">
      <c r="A20" s="3" t="inlineStr">
        <is>
          <t>555nm</t>
        </is>
      </c>
      <c r="B20" s="3" t="n">
        <v>-1.366142110638366</v>
      </c>
      <c r="C20" s="3" t="n">
        <v>6.930065604071321</v>
      </c>
      <c r="D20" s="3" t="n">
        <v>-0.1971326375086227</v>
      </c>
      <c r="E20" s="3" t="n">
        <v>0.8619410094109192</v>
      </c>
      <c r="F20" s="3" t="n">
        <v>-31.1838077993387</v>
      </c>
      <c r="G20" s="3" t="n">
        <v>28.45152357806197</v>
      </c>
      <c r="H20" s="3" t="n">
        <v>-31.1838077993387</v>
      </c>
      <c r="I20" s="3" t="n">
        <v>28.45152357806197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3" sqref="A3:I21"/>
    </sheetView>
  </sheetViews>
  <sheetFormatPr baseColWidth="10" defaultRowHeight="15"/>
  <sheetData>
    <row r="1">
      <c r="A1" t="inlineStr">
        <is>
          <t>SUMMARY OUTPUT</t>
        </is>
      </c>
    </row>
    <row r="2" ht="16" customHeight="1" thickBot="1"/>
    <row r="3">
      <c r="A3" s="5" t="inlineStr">
        <is>
          <t>Regression Statistics</t>
        </is>
      </c>
      <c r="B3" s="5" t="n"/>
    </row>
    <row r="4">
      <c r="A4" t="inlineStr">
        <is>
          <t>Multiple R</t>
        </is>
      </c>
      <c r="B4" t="n">
        <v>0.6143959723540487</v>
      </c>
    </row>
    <row r="5">
      <c r="A5" t="inlineStr">
        <is>
          <t>R Square</t>
        </is>
      </c>
      <c r="B5" t="n">
        <v>0.377482410844877</v>
      </c>
    </row>
    <row r="6">
      <c r="A6" t="inlineStr">
        <is>
          <t>Adjusted R Square</t>
        </is>
      </c>
      <c r="B6" t="n">
        <v>0.1699765477931693</v>
      </c>
    </row>
    <row r="7">
      <c r="A7" t="inlineStr">
        <is>
          <t>Standard Error</t>
        </is>
      </c>
      <c r="B7" t="n">
        <v>4.692398826646276</v>
      </c>
    </row>
    <row r="8" ht="16" customHeight="1" thickBot="1">
      <c r="A8" s="3" t="inlineStr">
        <is>
          <t>Observations</t>
        </is>
      </c>
      <c r="B8" s="3" t="n">
        <v>13</v>
      </c>
    </row>
    <row r="10" ht="16" customHeight="1" thickBot="1">
      <c r="A10" t="inlineStr">
        <is>
          <t>ANOVA</t>
        </is>
      </c>
    </row>
    <row r="11">
      <c r="A11" s="4" t="n"/>
      <c r="B11" s="4" t="inlineStr">
        <is>
          <t>df</t>
        </is>
      </c>
      <c r="C11" s="4" t="inlineStr">
        <is>
          <t>SS</t>
        </is>
      </c>
      <c r="D11" s="4" t="inlineStr">
        <is>
          <t>MS</t>
        </is>
      </c>
      <c r="E11" s="4" t="inlineStr">
        <is>
          <t>F</t>
        </is>
      </c>
      <c r="F11" s="4" t="inlineStr">
        <is>
          <t>Significance F</t>
        </is>
      </c>
    </row>
    <row r="12">
      <c r="A12" t="inlineStr">
        <is>
          <t>Regression</t>
        </is>
      </c>
      <c r="B12" t="n">
        <v>3</v>
      </c>
      <c r="C12" t="n">
        <v>120.1648469575055</v>
      </c>
      <c r="D12" t="n">
        <v>40.05494898583515</v>
      </c>
      <c r="E12" t="n">
        <v>1.819140940373398</v>
      </c>
      <c r="F12" t="n">
        <v>0.2137948021930681</v>
      </c>
    </row>
    <row r="13">
      <c r="A13" t="inlineStr">
        <is>
          <t>Residual</t>
        </is>
      </c>
      <c r="B13" t="n">
        <v>9</v>
      </c>
      <c r="C13" t="n">
        <v>198.1674607348021</v>
      </c>
      <c r="D13" t="n">
        <v>22.01860674831135</v>
      </c>
    </row>
    <row r="14" ht="16" customHeight="1" thickBot="1">
      <c r="A14" s="3" t="inlineStr">
        <is>
          <t>Total</t>
        </is>
      </c>
      <c r="B14" s="3" t="n">
        <v>12</v>
      </c>
      <c r="C14" s="3" t="n">
        <v>318.3323076923076</v>
      </c>
      <c r="D14" s="3" t="n"/>
      <c r="E14" s="3" t="n"/>
      <c r="F14" s="3" t="n"/>
    </row>
    <row r="15" ht="16" customHeight="1" thickBot="1"/>
    <row r="16">
      <c r="A16" s="4" t="n"/>
      <c r="B16" s="4" t="inlineStr">
        <is>
          <t>Coefficients</t>
        </is>
      </c>
      <c r="C16" s="4" t="inlineStr">
        <is>
          <t>Standard Error</t>
        </is>
      </c>
      <c r="D16" s="4" t="inlineStr">
        <is>
          <t>t Stat</t>
        </is>
      </c>
      <c r="E16" s="4" t="inlineStr">
        <is>
          <t>P-value</t>
        </is>
      </c>
      <c r="F16" s="4" t="inlineStr">
        <is>
          <t>Lower 95%</t>
        </is>
      </c>
      <c r="G16" s="4" t="inlineStr">
        <is>
          <t>Upper 95%</t>
        </is>
      </c>
      <c r="H16" s="4" t="inlineStr">
        <is>
          <t>Lower 95.0%</t>
        </is>
      </c>
      <c r="I16" s="4" t="inlineStr">
        <is>
          <t>Upper 95.0%</t>
        </is>
      </c>
    </row>
    <row r="17">
      <c r="A17" t="inlineStr">
        <is>
          <t>Intercept</t>
        </is>
      </c>
      <c r="B17" t="n">
        <v>9.7366254048773</v>
      </c>
      <c r="C17" t="n">
        <v>4.539159094957431</v>
      </c>
      <c r="D17" t="n">
        <v>2.14502845156799</v>
      </c>
      <c r="E17" t="n">
        <v>0.06052420538557429</v>
      </c>
      <c r="F17" t="n">
        <v>-0.5316658548612718</v>
      </c>
      <c r="G17" t="n">
        <v>20.00491666461587</v>
      </c>
      <c r="H17" t="n">
        <v>-0.5316658548612718</v>
      </c>
      <c r="I17" t="n">
        <v>20.00491666461587</v>
      </c>
    </row>
    <row r="18">
      <c r="A18" t="inlineStr">
        <is>
          <t>415nm</t>
        </is>
      </c>
      <c r="B18" t="n">
        <v>-2.369012849563886</v>
      </c>
      <c r="C18" t="n">
        <v>1.339143483539039</v>
      </c>
      <c r="D18" t="n">
        <v>-1.76905079902502</v>
      </c>
      <c r="E18" t="n">
        <v>0.1106720720755135</v>
      </c>
      <c r="F18" t="n">
        <v>-5.398365872866264</v>
      </c>
      <c r="G18" t="n">
        <v>0.6603401737384926</v>
      </c>
      <c r="H18" t="n">
        <v>-5.398365872866264</v>
      </c>
      <c r="I18" t="n">
        <v>0.6603401737384926</v>
      </c>
    </row>
    <row r="19">
      <c r="A19" t="inlineStr">
        <is>
          <t>480nm</t>
        </is>
      </c>
      <c r="B19" t="n">
        <v>-4.408868011254866</v>
      </c>
      <c r="C19" t="n">
        <v>5.183198910302275</v>
      </c>
      <c r="D19" t="n">
        <v>-0.8506075278129253</v>
      </c>
      <c r="E19" t="n">
        <v>0.4170425942903563</v>
      </c>
      <c r="F19" t="n">
        <v>-16.13407855240301</v>
      </c>
      <c r="G19" t="n">
        <v>7.316342529893278</v>
      </c>
      <c r="H19" t="n">
        <v>-16.13407855240301</v>
      </c>
      <c r="I19" t="n">
        <v>7.316342529893278</v>
      </c>
    </row>
    <row r="20" ht="16" customHeight="1" thickBot="1">
      <c r="A20" s="3" t="inlineStr">
        <is>
          <t>555nm</t>
        </is>
      </c>
      <c r="B20" s="3" t="n">
        <v>7.664506624378682</v>
      </c>
      <c r="C20" s="3" t="n">
        <v>5.592611913493392</v>
      </c>
      <c r="D20" s="3" t="n">
        <v>1.370469959820812</v>
      </c>
      <c r="E20" s="3" t="n">
        <v>0.203748348575811</v>
      </c>
      <c r="F20" s="3" t="n">
        <v>-4.986860474480971</v>
      </c>
      <c r="G20" s="3" t="n">
        <v>20.31587372323834</v>
      </c>
      <c r="H20" s="3" t="n">
        <v>-4.986860474480971</v>
      </c>
      <c r="I20" s="3" t="n">
        <v>20.31587372323834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F44" sqref="F44"/>
    </sheetView>
  </sheetViews>
  <sheetFormatPr baseColWidth="10" defaultRowHeight="15"/>
  <sheetData>
    <row r="1">
      <c r="A1" t="inlineStr">
        <is>
          <t>SUMMARY OUTPUT</t>
        </is>
      </c>
    </row>
    <row r="2" ht="16" customHeight="1" thickBot="1"/>
    <row r="3">
      <c r="A3" s="5" t="inlineStr">
        <is>
          <t>Regression Statistics</t>
        </is>
      </c>
      <c r="B3" s="5" t="n"/>
    </row>
    <row r="4">
      <c r="A4" t="inlineStr">
        <is>
          <t>Multiple R</t>
        </is>
      </c>
      <c r="B4" t="n">
        <v>0.3605718046071162</v>
      </c>
    </row>
    <row r="5">
      <c r="A5" t="inlineStr">
        <is>
          <t>R Square</t>
        </is>
      </c>
      <c r="B5" t="n">
        <v>0.1300120262776324</v>
      </c>
    </row>
    <row r="6">
      <c r="A6" t="inlineStr">
        <is>
          <t>Adjusted R Square</t>
        </is>
      </c>
      <c r="B6" t="n">
        <v>0.02561346943094831</v>
      </c>
    </row>
    <row r="7">
      <c r="A7" t="inlineStr">
        <is>
          <t>Standard Error</t>
        </is>
      </c>
      <c r="B7" t="n">
        <v>8.896204276793398</v>
      </c>
    </row>
    <row r="8" ht="16" customHeight="1" thickBot="1">
      <c r="A8" s="3" t="inlineStr">
        <is>
          <t>Observations</t>
        </is>
      </c>
      <c r="B8" s="3" t="n">
        <v>29</v>
      </c>
    </row>
    <row r="10" ht="16" customHeight="1" thickBot="1">
      <c r="A10" t="inlineStr">
        <is>
          <t>ANOVA</t>
        </is>
      </c>
    </row>
    <row r="11">
      <c r="A11" s="4" t="n"/>
      <c r="B11" s="4" t="inlineStr">
        <is>
          <t>df</t>
        </is>
      </c>
      <c r="C11" s="4" t="inlineStr">
        <is>
          <t>SS</t>
        </is>
      </c>
      <c r="D11" s="4" t="inlineStr">
        <is>
          <t>MS</t>
        </is>
      </c>
      <c r="E11" s="4" t="inlineStr">
        <is>
          <t>F</t>
        </is>
      </c>
      <c r="F11" s="4" t="inlineStr">
        <is>
          <t>Significance F</t>
        </is>
      </c>
    </row>
    <row r="12">
      <c r="A12" t="inlineStr">
        <is>
          <t>Regression</t>
        </is>
      </c>
      <c r="B12" t="n">
        <v>3</v>
      </c>
      <c r="C12" t="n">
        <v>295.6785228459682</v>
      </c>
      <c r="D12" t="n">
        <v>98.55950761532274</v>
      </c>
      <c r="E12" t="n">
        <v>1.245343136960823</v>
      </c>
      <c r="F12" t="n">
        <v>0.3143871635452947</v>
      </c>
    </row>
    <row r="13">
      <c r="A13" t="inlineStr">
        <is>
          <t>Residual</t>
        </is>
      </c>
      <c r="B13" t="n">
        <v>25</v>
      </c>
      <c r="C13" t="n">
        <v>1978.561263360929</v>
      </c>
      <c r="D13" t="n">
        <v>79.14245053443715</v>
      </c>
    </row>
    <row r="14" ht="16" customHeight="1" thickBot="1">
      <c r="A14" s="3" t="inlineStr">
        <is>
          <t>Total</t>
        </is>
      </c>
      <c r="B14" s="3" t="n">
        <v>28</v>
      </c>
      <c r="C14" s="3" t="n">
        <v>2274.239786206897</v>
      </c>
      <c r="D14" s="3" t="n"/>
      <c r="E14" s="3" t="n"/>
      <c r="F14" s="3" t="n"/>
    </row>
    <row r="15" ht="16" customHeight="1" thickBot="1"/>
    <row r="16">
      <c r="A16" s="4" t="n"/>
      <c r="B16" s="4" t="inlineStr">
        <is>
          <t>Coefficients</t>
        </is>
      </c>
      <c r="C16" s="4" t="inlineStr">
        <is>
          <t>Standard Error</t>
        </is>
      </c>
      <c r="D16" s="4" t="inlineStr">
        <is>
          <t>t Stat</t>
        </is>
      </c>
      <c r="E16" s="4" t="inlineStr">
        <is>
          <t>P-value</t>
        </is>
      </c>
      <c r="F16" s="4" t="inlineStr">
        <is>
          <t>Lower 95%</t>
        </is>
      </c>
      <c r="G16" s="4" t="inlineStr">
        <is>
          <t>Upper 95%</t>
        </is>
      </c>
      <c r="H16" s="4" t="inlineStr">
        <is>
          <t>Lower 95.0%</t>
        </is>
      </c>
      <c r="I16" s="4" t="inlineStr">
        <is>
          <t>Upper 95.0%</t>
        </is>
      </c>
    </row>
    <row r="17">
      <c r="A17" t="inlineStr">
        <is>
          <t>Intercept</t>
        </is>
      </c>
      <c r="B17" t="n">
        <v>9.478703170021159</v>
      </c>
      <c r="C17" t="n">
        <v>4.503767014103353</v>
      </c>
      <c r="D17" t="n">
        <v>2.104616677625421</v>
      </c>
      <c r="E17" t="n">
        <v>0.04554489249693836</v>
      </c>
      <c r="F17" t="n">
        <v>0.2030213718566988</v>
      </c>
      <c r="G17" t="n">
        <v>18.75438496818562</v>
      </c>
      <c r="H17" t="n">
        <v>0.2030213718566988</v>
      </c>
      <c r="I17" t="n">
        <v>18.75438496818562</v>
      </c>
    </row>
    <row r="18">
      <c r="A18" t="inlineStr">
        <is>
          <t>415nm</t>
        </is>
      </c>
      <c r="B18" t="n">
        <v>-2.552681075234562</v>
      </c>
      <c r="C18" t="n">
        <v>1.51754232482505</v>
      </c>
      <c r="D18" t="n">
        <v>-1.682115242175435</v>
      </c>
      <c r="E18" t="n">
        <v>0.10499756095352</v>
      </c>
      <c r="F18" t="n">
        <v>-5.678117998646621</v>
      </c>
      <c r="G18" t="n">
        <v>0.5727558481774966</v>
      </c>
      <c r="H18" t="n">
        <v>-5.678117998646621</v>
      </c>
      <c r="I18" t="n">
        <v>0.5727558481774966</v>
      </c>
    </row>
    <row r="19">
      <c r="A19" t="inlineStr">
        <is>
          <t>480nm</t>
        </is>
      </c>
      <c r="B19" t="n">
        <v>5.506713544220176</v>
      </c>
      <c r="C19" t="n">
        <v>3.482406617298622</v>
      </c>
      <c r="D19" t="n">
        <v>1.581295394072003</v>
      </c>
      <c r="E19" t="n">
        <v>0.1263809424880294</v>
      </c>
      <c r="F19" t="n">
        <v>-1.665437140469535</v>
      </c>
      <c r="G19" t="n">
        <v>12.67886422890989</v>
      </c>
      <c r="H19" t="n">
        <v>-1.665437140469535</v>
      </c>
      <c r="I19" t="n">
        <v>12.67886422890989</v>
      </c>
    </row>
    <row r="20" ht="16" customHeight="1" thickBot="1">
      <c r="A20" s="3" t="inlineStr">
        <is>
          <t>555nm</t>
        </is>
      </c>
      <c r="B20" s="3" t="n">
        <v>-2.618303900288943</v>
      </c>
      <c r="C20" s="3" t="n">
        <v>2.945274106497802</v>
      </c>
      <c r="D20" s="3" t="n">
        <v>-0.8889847958505783</v>
      </c>
      <c r="E20" s="3" t="n">
        <v>0.382485630336968</v>
      </c>
      <c r="F20" s="3" t="n">
        <v>-8.684209471047188</v>
      </c>
      <c r="G20" s="3" t="n">
        <v>3.447601670469302</v>
      </c>
      <c r="H20" s="3" t="n">
        <v>-8.684209471047188</v>
      </c>
      <c r="I20" s="3" t="n">
        <v>3.447601670469302</v>
      </c>
    </row>
    <row r="27">
      <c r="G27" t="inlineStr">
        <is>
          <t>C</t>
        </is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:I23"/>
    </sheetView>
  </sheetViews>
  <sheetFormatPr baseColWidth="10" defaultRowHeight="15"/>
  <sheetData>
    <row r="1">
      <c r="A1" t="inlineStr">
        <is>
          <t>SUMMARY OUTPUT</t>
        </is>
      </c>
    </row>
    <row r="2" ht="16" customHeight="1" thickBot="1"/>
    <row r="3">
      <c r="A3" s="5" t="inlineStr">
        <is>
          <t>Regression Statistics</t>
        </is>
      </c>
      <c r="B3" s="5" t="n"/>
    </row>
    <row r="4">
      <c r="A4" t="inlineStr">
        <is>
          <t>Multiple R</t>
        </is>
      </c>
      <c r="B4" t="n">
        <v>0.3308789014797203</v>
      </c>
    </row>
    <row r="5">
      <c r="A5" t="inlineStr">
        <is>
          <t>R Square</t>
        </is>
      </c>
      <c r="B5" t="n">
        <v>0.1094808474444265</v>
      </c>
    </row>
    <row r="6">
      <c r="A6" t="inlineStr">
        <is>
          <t>Adjusted R Square</t>
        </is>
      </c>
      <c r="B6" t="n">
        <v>-0.187358870074098</v>
      </c>
    </row>
    <row r="7">
      <c r="A7" t="inlineStr">
        <is>
          <t>Standard Error</t>
        </is>
      </c>
      <c r="B7" t="n">
        <v>6.283797491379456</v>
      </c>
    </row>
    <row r="8" ht="16" customHeight="1" thickBot="1">
      <c r="A8" s="3" t="inlineStr">
        <is>
          <t>Observations</t>
        </is>
      </c>
      <c r="B8" s="3" t="n">
        <v>13</v>
      </c>
    </row>
    <row r="10" ht="16" customHeight="1" thickBot="1">
      <c r="A10" t="inlineStr">
        <is>
          <t>ANOVA</t>
        </is>
      </c>
    </row>
    <row r="11">
      <c r="A11" s="4" t="n"/>
      <c r="B11" s="4" t="inlineStr">
        <is>
          <t>df</t>
        </is>
      </c>
      <c r="C11" s="4" t="inlineStr">
        <is>
          <t>SS</t>
        </is>
      </c>
      <c r="D11" s="4" t="inlineStr">
        <is>
          <t>MS</t>
        </is>
      </c>
      <c r="E11" s="4" t="inlineStr">
        <is>
          <t>F</t>
        </is>
      </c>
      <c r="F11" s="4" t="inlineStr">
        <is>
          <t>Significance F</t>
        </is>
      </c>
    </row>
    <row r="12">
      <c r="A12" t="inlineStr">
        <is>
          <t>Regression</t>
        </is>
      </c>
      <c r="B12" t="n">
        <v>3</v>
      </c>
      <c r="C12" t="n">
        <v>43.6899710167686</v>
      </c>
      <c r="D12" t="n">
        <v>14.5633236722562</v>
      </c>
      <c r="E12" t="n">
        <v>0.3688214244362169</v>
      </c>
      <c r="F12" t="n">
        <v>0.777451995031753</v>
      </c>
    </row>
    <row r="13">
      <c r="A13" t="inlineStr">
        <is>
          <t>Residual</t>
        </is>
      </c>
      <c r="B13" t="n">
        <v>9</v>
      </c>
      <c r="C13" t="n">
        <v>355.3749982140007</v>
      </c>
      <c r="D13" t="n">
        <v>39.48611091266675</v>
      </c>
    </row>
    <row r="14" ht="16" customHeight="1" thickBot="1">
      <c r="A14" s="3" t="inlineStr">
        <is>
          <t>Total</t>
        </is>
      </c>
      <c r="B14" s="3" t="n">
        <v>12</v>
      </c>
      <c r="C14" s="3" t="n">
        <v>399.0649692307693</v>
      </c>
      <c r="D14" s="3" t="n"/>
      <c r="E14" s="3" t="n"/>
      <c r="F14" s="3" t="n"/>
    </row>
    <row r="15" ht="16" customHeight="1" thickBot="1"/>
    <row r="16">
      <c r="A16" s="4" t="n"/>
      <c r="B16" s="4" t="inlineStr">
        <is>
          <t>Coefficients</t>
        </is>
      </c>
      <c r="C16" s="4" t="inlineStr">
        <is>
          <t>Standard Error</t>
        </is>
      </c>
      <c r="D16" s="4" t="inlineStr">
        <is>
          <t>t Stat</t>
        </is>
      </c>
      <c r="E16" s="4" t="inlineStr">
        <is>
          <t>P-value</t>
        </is>
      </c>
      <c r="F16" s="4" t="inlineStr">
        <is>
          <t>Lower 95%</t>
        </is>
      </c>
      <c r="G16" s="4" t="inlineStr">
        <is>
          <t>Upper 95%</t>
        </is>
      </c>
      <c r="H16" s="4" t="inlineStr">
        <is>
          <t>Lower 95.0%</t>
        </is>
      </c>
      <c r="I16" s="4" t="inlineStr">
        <is>
          <t>Upper 95.0%</t>
        </is>
      </c>
    </row>
    <row r="17">
      <c r="A17" t="inlineStr">
        <is>
          <t>Intercept</t>
        </is>
      </c>
      <c r="B17" t="n">
        <v>7.886227907668055</v>
      </c>
      <c r="C17" t="n">
        <v>9.301681748948729</v>
      </c>
      <c r="D17" t="n">
        <v>0.8478281799481424</v>
      </c>
      <c r="E17" t="n">
        <v>0.4185097064839608</v>
      </c>
      <c r="F17" t="n">
        <v>-13.15563808678565</v>
      </c>
      <c r="G17" t="n">
        <v>28.92809390212176</v>
      </c>
      <c r="H17" t="n">
        <v>-13.15563808678565</v>
      </c>
      <c r="I17" t="n">
        <v>28.92809390212176</v>
      </c>
    </row>
    <row r="18">
      <c r="A18" t="inlineStr">
        <is>
          <t>415nm</t>
        </is>
      </c>
      <c r="B18" t="n">
        <v>-1.154320356372069</v>
      </c>
      <c r="C18" t="n">
        <v>1.162637032527593</v>
      </c>
      <c r="D18" t="n">
        <v>-0.9928467131849023</v>
      </c>
      <c r="E18" t="n">
        <v>0.3467262018482364</v>
      </c>
      <c r="F18" t="n">
        <v>-3.784388047238814</v>
      </c>
      <c r="G18" t="n">
        <v>1.475747334494675</v>
      </c>
      <c r="H18" t="n">
        <v>-3.784388047238814</v>
      </c>
      <c r="I18" t="n">
        <v>1.475747334494675</v>
      </c>
    </row>
    <row r="19">
      <c r="A19" t="inlineStr">
        <is>
          <t>480nm</t>
        </is>
      </c>
      <c r="B19" t="n">
        <v>1.603405275263283</v>
      </c>
      <c r="C19" t="n">
        <v>3.759400873721343</v>
      </c>
      <c r="D19" t="n">
        <v>0.4265055334937213</v>
      </c>
      <c r="E19" t="n">
        <v>0.6797596766102374</v>
      </c>
      <c r="F19" t="n">
        <v>-6.900950339055284</v>
      </c>
      <c r="G19" t="n">
        <v>10.10776088958185</v>
      </c>
      <c r="H19" t="n">
        <v>-6.900950339055284</v>
      </c>
      <c r="I19" t="n">
        <v>10.10776088958185</v>
      </c>
    </row>
    <row r="20" ht="16" customHeight="1" thickBot="1">
      <c r="A20" s="3" t="inlineStr">
        <is>
          <t>555nm</t>
        </is>
      </c>
      <c r="B20" s="3" t="n">
        <v>-0.9726006944070823</v>
      </c>
      <c r="C20" s="3" t="n">
        <v>2.272461901474815</v>
      </c>
      <c r="D20" s="3" t="n">
        <v>-0.4279942795854443</v>
      </c>
      <c r="E20" s="3" t="n">
        <v>0.6787146695839074</v>
      </c>
      <c r="F20" s="3" t="n">
        <v>-6.113266662014365</v>
      </c>
      <c r="G20" s="3" t="n">
        <v>4.168065273200201</v>
      </c>
      <c r="H20" s="3" t="n">
        <v>-6.113266662014365</v>
      </c>
      <c r="I20" s="3" t="n">
        <v>4.168065273200201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28" sqref="D28"/>
    </sheetView>
  </sheetViews>
  <sheetFormatPr baseColWidth="10" defaultRowHeight="15"/>
  <sheetData>
    <row r="1">
      <c r="A1" t="inlineStr">
        <is>
          <t>SUMMARY OUTPUT</t>
        </is>
      </c>
    </row>
    <row r="2" ht="16" customHeight="1" thickBot="1"/>
    <row r="3">
      <c r="A3" s="5" t="inlineStr">
        <is>
          <t>Regression Statistics</t>
        </is>
      </c>
      <c r="B3" s="5" t="n"/>
    </row>
    <row r="4">
      <c r="A4" t="inlineStr">
        <is>
          <t>Multiple R</t>
        </is>
      </c>
      <c r="B4" t="n">
        <v>0.707560985150828</v>
      </c>
    </row>
    <row r="5">
      <c r="A5" t="inlineStr">
        <is>
          <t>R Square</t>
        </is>
      </c>
      <c r="B5" t="n">
        <v>0.5006425477076103</v>
      </c>
    </row>
    <row r="6">
      <c r="A6" t="inlineStr">
        <is>
          <t>Adjusted R Square</t>
        </is>
      </c>
      <c r="B6" t="n">
        <v>0.3758031846345129</v>
      </c>
    </row>
    <row r="7">
      <c r="A7" t="inlineStr">
        <is>
          <t>Standard Error</t>
        </is>
      </c>
      <c r="B7" t="n">
        <v>7.503381781157631</v>
      </c>
    </row>
    <row r="8" ht="16" customHeight="1" thickBot="1">
      <c r="A8" s="3" t="inlineStr">
        <is>
          <t>Observations</t>
        </is>
      </c>
      <c r="B8" s="3" t="n">
        <v>16</v>
      </c>
    </row>
    <row r="10" ht="16" customHeight="1" thickBot="1">
      <c r="A10" t="inlineStr">
        <is>
          <t>ANOVA</t>
        </is>
      </c>
    </row>
    <row r="11">
      <c r="A11" s="4" t="n"/>
      <c r="B11" s="4" t="inlineStr">
        <is>
          <t>df</t>
        </is>
      </c>
      <c r="C11" s="4" t="inlineStr">
        <is>
          <t>SS</t>
        </is>
      </c>
      <c r="D11" s="4" t="inlineStr">
        <is>
          <t>MS</t>
        </is>
      </c>
      <c r="E11" s="4" t="inlineStr">
        <is>
          <t>F</t>
        </is>
      </c>
      <c r="F11" s="4" t="inlineStr">
        <is>
          <t>Significance F</t>
        </is>
      </c>
    </row>
    <row r="12">
      <c r="A12" t="inlineStr">
        <is>
          <t>Regression</t>
        </is>
      </c>
      <c r="B12" t="n">
        <v>3</v>
      </c>
      <c r="C12" t="n">
        <v>677.3475359043008</v>
      </c>
      <c r="D12" t="n">
        <v>225.7825119681003</v>
      </c>
      <c r="E12" t="n">
        <v>4.010293992083797</v>
      </c>
      <c r="F12" t="n">
        <v>0.03434124711680015</v>
      </c>
    </row>
    <row r="13">
      <c r="A13" t="inlineStr">
        <is>
          <t>Residual</t>
        </is>
      </c>
      <c r="B13" t="n">
        <v>12</v>
      </c>
      <c r="C13" t="n">
        <v>675.6088578456992</v>
      </c>
      <c r="D13" t="n">
        <v>56.30073815380826</v>
      </c>
    </row>
    <row r="14" ht="16" customHeight="1" thickBot="1">
      <c r="A14" s="3" t="inlineStr">
        <is>
          <t>Total</t>
        </is>
      </c>
      <c r="B14" s="3" t="n">
        <v>15</v>
      </c>
      <c r="C14" s="3" t="n">
        <v>1352.95639375</v>
      </c>
      <c r="D14" s="3" t="n"/>
      <c r="E14" s="3" t="n"/>
      <c r="F14" s="3" t="n"/>
    </row>
    <row r="15" ht="16" customHeight="1" thickBot="1"/>
    <row r="16">
      <c r="A16" s="4" t="n"/>
      <c r="B16" s="4" t="inlineStr">
        <is>
          <t>Coefficients</t>
        </is>
      </c>
      <c r="C16" s="4" t="inlineStr">
        <is>
          <t>Standard Error</t>
        </is>
      </c>
      <c r="D16" s="4" t="inlineStr">
        <is>
          <t>t Stat</t>
        </is>
      </c>
      <c r="E16" s="4" t="inlineStr">
        <is>
          <t>P-value</t>
        </is>
      </c>
      <c r="F16" s="4" t="inlineStr">
        <is>
          <t>Lower 95%</t>
        </is>
      </c>
      <c r="G16" s="4" t="inlineStr">
        <is>
          <t>Upper 95%</t>
        </is>
      </c>
      <c r="H16" s="4" t="inlineStr">
        <is>
          <t>Lower 95.0%</t>
        </is>
      </c>
      <c r="I16" s="4" t="inlineStr">
        <is>
          <t>Upper 95.0%</t>
        </is>
      </c>
    </row>
    <row r="17">
      <c r="A17" t="inlineStr">
        <is>
          <t>Intercept</t>
        </is>
      </c>
      <c r="B17" t="n">
        <v>-6.114665421050482</v>
      </c>
      <c r="C17" t="n">
        <v>8.140171048200466</v>
      </c>
      <c r="D17" t="n">
        <v>-0.7511716135746608</v>
      </c>
      <c r="E17" t="n">
        <v>0.4670256399789703</v>
      </c>
      <c r="F17" t="n">
        <v>-23.85057453655539</v>
      </c>
      <c r="G17" t="n">
        <v>11.62124369445442</v>
      </c>
      <c r="H17" t="n">
        <v>-23.85057453655539</v>
      </c>
      <c r="I17" t="n">
        <v>11.62124369445442</v>
      </c>
    </row>
    <row r="18">
      <c r="A18" t="inlineStr">
        <is>
          <t>415nm</t>
        </is>
      </c>
      <c r="B18" t="n">
        <v>15.66045609413647</v>
      </c>
      <c r="C18" t="n">
        <v>13.47550503313988</v>
      </c>
      <c r="D18" t="n">
        <v>1.162142424764282</v>
      </c>
      <c r="E18" t="n">
        <v>0.2677702756977942</v>
      </c>
      <c r="F18" t="n">
        <v>-13.70014715831401</v>
      </c>
      <c r="G18" t="n">
        <v>45.02105934658694</v>
      </c>
      <c r="H18" t="n">
        <v>-13.70014715831401</v>
      </c>
      <c r="I18" t="n">
        <v>45.02105934658694</v>
      </c>
    </row>
    <row r="19">
      <c r="A19" t="inlineStr">
        <is>
          <t>480nm</t>
        </is>
      </c>
      <c r="B19" t="n">
        <v>10.69201130524745</v>
      </c>
      <c r="C19" t="n">
        <v>12.25285128695526</v>
      </c>
      <c r="D19" t="n">
        <v>0.8726141413819718</v>
      </c>
      <c r="E19" t="n">
        <v>0.3999974592987317</v>
      </c>
      <c r="F19" t="n">
        <v>-16.00465827877528</v>
      </c>
      <c r="G19" t="n">
        <v>37.38868088927019</v>
      </c>
      <c r="H19" t="n">
        <v>-16.00465827877528</v>
      </c>
      <c r="I19" t="n">
        <v>37.38868088927019</v>
      </c>
    </row>
    <row r="20" ht="16" customHeight="1" thickBot="1">
      <c r="A20" s="3" t="inlineStr">
        <is>
          <t>555nm</t>
        </is>
      </c>
      <c r="B20" s="3" t="n">
        <v>-19.22850811845608</v>
      </c>
      <c r="C20" s="3" t="n">
        <v>7.411111224380779</v>
      </c>
      <c r="D20" s="3" t="n">
        <v>-2.594551280676898</v>
      </c>
      <c r="E20" s="3" t="n">
        <v>0.02346032649084822</v>
      </c>
      <c r="F20" s="3" t="n">
        <v>-35.37593233622772</v>
      </c>
      <c r="G20" s="3" t="n">
        <v>-3.081083900684437</v>
      </c>
      <c r="H20" s="3" t="n">
        <v>-35.37593233622772</v>
      </c>
      <c r="I20" s="3" t="n">
        <v>-3.081083900684437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2026-09-23T22:38:39Z</dcterms:created>
  <dcterms:modified xsi:type="dcterms:W3CDTF">2026-10-07T07:42:48Z</dcterms:modified>
  <cp:lastModifiedBy>Morales, Diego Eraldo</cp:lastModifiedBy>
</cp:coreProperties>
</file>