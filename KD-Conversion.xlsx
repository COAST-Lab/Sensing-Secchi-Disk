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https://uncw4-my.sharepoint.com/personal/dem5075_uncw_edu/Documents/SSD/src/"/>
    </mc:Choice>
  </mc:AlternateContent>
  <xr:revisionPtr revIDLastSave="32" documentId="11_41D9F0A0D3F05C1857F82711595ED87656CCAF06" xr6:coauthVersionLast="47" xr6:coauthVersionMax="47" xr10:uidLastSave="{51D992B0-9555-7341-96D2-65755C9A6A18}"/>
  <bookViews>
    <workbookView xWindow="0" yWindow="660" windowWidth="30240" windowHeight="18980" xr2:uid="{00000000-000D-0000-FFFF-FFFF00000000}"/>
  </bookViews>
  <sheets>
    <sheet name="Sheet1" sheetId="1" r:id="rId1"/>
  </sheets>
  <definedNames>
    <definedName name="_xlchart.v1.0" hidden="1">Sheet1!$F$11:$F$23</definedName>
    <definedName name="_xlchart.v1.1" hidden="1">Sheet1!$Q$11:$Q$23</definedName>
    <definedName name="_xlchart.v2.2" hidden="1">Sheet1!$F$11:$F$23</definedName>
    <definedName name="_xlchart.v2.3" hidden="1">Sheet1!$Q$11:$Q$23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5" i="1" l="1"/>
  <c r="S12" i="1"/>
  <c r="S13" i="1"/>
  <c r="S14" i="1"/>
  <c r="S16" i="1"/>
  <c r="S17" i="1"/>
  <c r="S18" i="1"/>
  <c r="S19" i="1"/>
  <c r="S20" i="1"/>
  <c r="S21" i="1"/>
  <c r="S22" i="1"/>
  <c r="S23" i="1"/>
  <c r="S11" i="1"/>
  <c r="R12" i="1"/>
  <c r="R13" i="1"/>
  <c r="R14" i="1"/>
  <c r="R15" i="1"/>
  <c r="R16" i="1"/>
  <c r="R17" i="1"/>
  <c r="R18" i="1"/>
  <c r="R19" i="1"/>
  <c r="R20" i="1"/>
  <c r="R21" i="1"/>
  <c r="R22" i="1"/>
  <c r="R23" i="1"/>
  <c r="R11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</calcChain>
</file>

<file path=xl/sharedStrings.xml><?xml version="1.0" encoding="utf-8"?>
<sst xmlns="http://schemas.openxmlformats.org/spreadsheetml/2006/main" count="304" uniqueCount="140">
  <si>
    <t>Cruise_#</t>
  </si>
  <si>
    <t>Date</t>
  </si>
  <si>
    <t>Station</t>
  </si>
  <si>
    <t>SSD_ID</t>
  </si>
  <si>
    <t>Filename</t>
  </si>
  <si>
    <t>415nm</t>
  </si>
  <si>
    <t>445nm</t>
  </si>
  <si>
    <t>480nm</t>
  </si>
  <si>
    <t>515nm</t>
  </si>
  <si>
    <t>555nm</t>
  </si>
  <si>
    <t>590nm</t>
  </si>
  <si>
    <t>630nm</t>
  </si>
  <si>
    <t>680nm</t>
  </si>
  <si>
    <t>µg Chl a/L, direct</t>
  </si>
  <si>
    <t>EXO2s</t>
  </si>
  <si>
    <t>DE</t>
  </si>
  <si>
    <t>Xing 412</t>
  </si>
  <si>
    <t>Xing 490</t>
  </si>
  <si>
    <t>Xing 555</t>
  </si>
  <si>
    <t>NC11</t>
  </si>
  <si>
    <t>A016</t>
  </si>
  <si>
    <t>260527-01(NC11)-A016.txt</t>
  </si>
  <si>
    <t>ACME</t>
  </si>
  <si>
    <t>260527-02(ACME)-A016.txt</t>
  </si>
  <si>
    <t>DP</t>
  </si>
  <si>
    <t>260527-03(DP)-A016.txt</t>
  </si>
  <si>
    <t>BBT</t>
  </si>
  <si>
    <t>260527-04(BBT)-A016.txt</t>
  </si>
  <si>
    <t>IC-1</t>
  </si>
  <si>
    <t>260527-05(IC-1)-A016.txt</t>
  </si>
  <si>
    <t>IC-2</t>
  </si>
  <si>
    <t>260527-05(IC-2)-A016.txt</t>
  </si>
  <si>
    <t>NAV</t>
  </si>
  <si>
    <t>260527-06(NAV)-A016.txt</t>
  </si>
  <si>
    <t>HB</t>
  </si>
  <si>
    <t>260527-07(HB)-A016.txt</t>
  </si>
  <si>
    <t>NCF6</t>
  </si>
  <si>
    <t>260527-08(NCF6)-A016.txt</t>
  </si>
  <si>
    <t>260603-01(NCF6)-A016.txt</t>
  </si>
  <si>
    <t>260603-02(NC11)-A016.txt</t>
  </si>
  <si>
    <t>260603-03(ACME)-A016.txt</t>
  </si>
  <si>
    <t>260603-04(DP)-A016.txt</t>
  </si>
  <si>
    <t>260603-05(BBT)-A016.txt</t>
  </si>
  <si>
    <t>IC</t>
  </si>
  <si>
    <t>260603-06(IC)-A016.txt</t>
  </si>
  <si>
    <t>M18</t>
  </si>
  <si>
    <t>260610-01(M18)-A016.txt</t>
  </si>
  <si>
    <t>M23</t>
  </si>
  <si>
    <t>260610-02(M23)-A016.txt</t>
  </si>
  <si>
    <t>M35</t>
  </si>
  <si>
    <t>260610-03(M35)-A016.txt</t>
  </si>
  <si>
    <t>M54</t>
  </si>
  <si>
    <t>260610-04(M54)-A016.txt</t>
  </si>
  <si>
    <t>BRR</t>
  </si>
  <si>
    <t>260610-05(BRR)-A016.txt</t>
  </si>
  <si>
    <t>260610-06(NAV)-A016.txt</t>
  </si>
  <si>
    <t>260610-07(HB)-A016.txt</t>
  </si>
  <si>
    <t>260618-01(NC11)-A016.txt</t>
  </si>
  <si>
    <t>A017</t>
  </si>
  <si>
    <t>260618-01(NC11)-A017.txt</t>
  </si>
  <si>
    <t>260618-02(ACME)-A016.txt</t>
  </si>
  <si>
    <t>260618-02(ACME)-A017.txt</t>
  </si>
  <si>
    <t>260618-03(DP)-A016.txt</t>
  </si>
  <si>
    <t>260618-03(DP)-A017.txt</t>
  </si>
  <si>
    <t>260618-04(BBT)-A016.txt</t>
  </si>
  <si>
    <t>260618-04(BBT)-A017.txt</t>
  </si>
  <si>
    <t>260618-05(IC)-A016.txt</t>
  </si>
  <si>
    <t>260618-05(IC)-A017.txt</t>
  </si>
  <si>
    <t>260618-06(NCF6)-A016.txt</t>
  </si>
  <si>
    <t>260618-06(NCF6)-A017.txt</t>
  </si>
  <si>
    <t>260625-01(M18)-A017.txt</t>
  </si>
  <si>
    <t>260625-02(M23)-A017.txt</t>
  </si>
  <si>
    <t>260625-03(M35)-A017.txt</t>
  </si>
  <si>
    <t>260625-04(M54)-A017.txt</t>
  </si>
  <si>
    <t>260625-05(BRR)-A017.txt</t>
  </si>
  <si>
    <t>M61</t>
  </si>
  <si>
    <t>260625-06(M61)-A017.txt</t>
  </si>
  <si>
    <t>260625-07(HB)-A017.txt</t>
  </si>
  <si>
    <t>260625-08(NAV)-A017.txt</t>
  </si>
  <si>
    <t>260702-01(M18)-A017.txt</t>
  </si>
  <si>
    <t>M23-1</t>
  </si>
  <si>
    <t>260702-02(M23-1)-A017.txt</t>
  </si>
  <si>
    <t>M23-2</t>
  </si>
  <si>
    <t>260702-02(M23-2)-A017.txt</t>
  </si>
  <si>
    <t>260702-03(M35)-A017.txt</t>
  </si>
  <si>
    <t>260702-04(M54)-A017.txt</t>
  </si>
  <si>
    <t>260702-05(BRR)-A017.txt</t>
  </si>
  <si>
    <t>260702-05(M61)-A017.txt</t>
  </si>
  <si>
    <t>260702-07(HB)-A017.txt</t>
  </si>
  <si>
    <t>260702-08(NAV)-A017.txt</t>
  </si>
  <si>
    <t>260709-01(NCF6)-A017.txt</t>
  </si>
  <si>
    <t>260709-02(NC11)-A017.txt</t>
  </si>
  <si>
    <t>260709-03(ACME)-A017.txt</t>
  </si>
  <si>
    <t>260709-04(DP)-A017.txt</t>
  </si>
  <si>
    <t>BBT-1</t>
  </si>
  <si>
    <t>260709-05(BBT-1)-A017.txt</t>
  </si>
  <si>
    <t>BBT-2</t>
  </si>
  <si>
    <t>260709-05(BBT-2)-A017.txt</t>
  </si>
  <si>
    <t>260709-06(IC)-A017.txt</t>
  </si>
  <si>
    <t>260716-01(M18)-A017.txt</t>
  </si>
  <si>
    <t>260716-02(M23)-A017.txt</t>
  </si>
  <si>
    <t>260716-03(M35)-A017.txt</t>
  </si>
  <si>
    <t>260716-04(M54)-A017.txt</t>
  </si>
  <si>
    <t>260716-05(BRR)-A017.txt</t>
  </si>
  <si>
    <t>260716-06(M61)-A017.txt</t>
  </si>
  <si>
    <t>260716-07(NCF6)-A017.txt</t>
  </si>
  <si>
    <t>260728-01(NC11)-A017.txt</t>
  </si>
  <si>
    <t>ACME-1</t>
  </si>
  <si>
    <t>260728-02(ACME-1)-A017.txt</t>
  </si>
  <si>
    <t>ACME-2</t>
  </si>
  <si>
    <t>260728-02(ACME-2)-A017.txt</t>
  </si>
  <si>
    <t>260728-03(DP)-A017.txt</t>
  </si>
  <si>
    <t>260728-04(BBT)-A017.txt</t>
  </si>
  <si>
    <t>260728-05(IC)-A017.txt</t>
  </si>
  <si>
    <t>NAV-1</t>
  </si>
  <si>
    <t>260728-06(NAV-1)-A017.txt</t>
  </si>
  <si>
    <t>NAV-2</t>
  </si>
  <si>
    <t>260728-01(NAV-2)-A017.txt</t>
  </si>
  <si>
    <t>260728-07(HB)-A017.txt</t>
  </si>
  <si>
    <t>260805-01(M18)-A017.txt</t>
  </si>
  <si>
    <t>260805-02(M23)-A017.txt</t>
  </si>
  <si>
    <t>260805-03(M35)-A017.txt</t>
  </si>
  <si>
    <t>260805-04(M54)-A017.txt</t>
  </si>
  <si>
    <t>260805-05(BRR)-A017.txt</t>
  </si>
  <si>
    <t>260805-06(M61)-A017.txt</t>
  </si>
  <si>
    <t>260805-07(NCF6)-A017.txt</t>
  </si>
  <si>
    <t>260811-01(NCF6)-A017.txt</t>
  </si>
  <si>
    <t>260811-02(NC11)-A017.txt</t>
  </si>
  <si>
    <t>260811-03(ACME-1)-A017.txt</t>
  </si>
  <si>
    <t>260811-03(ACME-2)-A017.txt</t>
  </si>
  <si>
    <t>260811-04(DP)-A017.txt</t>
  </si>
  <si>
    <t>260811-05(BBT)-A016.txt</t>
  </si>
  <si>
    <t>260811-06(IC)-A016.txt</t>
  </si>
  <si>
    <t>260814-01(M18)-A016.txt</t>
  </si>
  <si>
    <t>260814-02(M23)-A016.txt</t>
  </si>
  <si>
    <t>260814-03(M35)-A016.txt</t>
  </si>
  <si>
    <t>260814-04(M54)-A016.txt</t>
  </si>
  <si>
    <t>260814-05(BRR)-A016.txt</t>
  </si>
  <si>
    <t>260814-06(M61)-A016.txt</t>
  </si>
  <si>
    <t>260814-07(NCF6)-A016.txt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</si>
</sst>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96"/>
  <sheetViews>
    <sheetView tabSelected="1" workbookViewId="0">
      <selection activeCell="Y13" sqref="Y13"/>
    </sheetView>
  </sheetViews>
  <sheetFormatPr baseColWidth="10" defaultColWidth="8.83203125" defaultRowHeight="15" x14ac:dyDescent="0.2"/>
  <sheetData>
    <row r="1" spans="1:19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x14ac:dyDescent="0.2">
      <c r="A2">
        <v>1</v>
      </c>
      <c r="B2">
        <v>260527</v>
      </c>
      <c r="C2" t="s">
        <v>19</v>
      </c>
      <c r="D2" t="s">
        <v>20</v>
      </c>
      <c r="E2" t="s">
        <v>21</v>
      </c>
      <c r="F2">
        <v>5.3437789800619804</v>
      </c>
      <c r="G2">
        <v>-0.11173015724471499</v>
      </c>
      <c r="H2">
        <v>1.8562140038643611</v>
      </c>
      <c r="I2">
        <v>2.6451484598407449</v>
      </c>
      <c r="J2">
        <v>4.2234984650936704</v>
      </c>
      <c r="K2">
        <v>3.6833797154929231</v>
      </c>
      <c r="L2">
        <v>1.8262363188553761</v>
      </c>
      <c r="M2">
        <v>-3.6198643839574433E-2</v>
      </c>
    </row>
    <row r="3" spans="1:19" x14ac:dyDescent="0.2">
      <c r="A3">
        <v>1</v>
      </c>
      <c r="B3">
        <v>260527</v>
      </c>
      <c r="C3" t="s">
        <v>22</v>
      </c>
      <c r="D3" t="s">
        <v>20</v>
      </c>
      <c r="E3" t="s">
        <v>23</v>
      </c>
      <c r="F3">
        <v>3.3241392456231131</v>
      </c>
      <c r="G3">
        <v>3.2098798857520978</v>
      </c>
      <c r="H3">
        <v>2.5289067701025871</v>
      </c>
      <c r="I3">
        <v>1.8272290810702749</v>
      </c>
      <c r="J3">
        <v>1.516330862528966</v>
      </c>
      <c r="K3">
        <v>1.3054187015618011</v>
      </c>
      <c r="L3">
        <v>1.1869956712678531</v>
      </c>
      <c r="M3">
        <v>1.150453588665896</v>
      </c>
    </row>
    <row r="4" spans="1:19" x14ac:dyDescent="0.2">
      <c r="A4">
        <v>1</v>
      </c>
      <c r="B4">
        <v>260527</v>
      </c>
      <c r="C4" t="s">
        <v>24</v>
      </c>
      <c r="D4" t="s">
        <v>20</v>
      </c>
      <c r="E4" t="s">
        <v>25</v>
      </c>
      <c r="F4">
        <v>3.810675018466239</v>
      </c>
      <c r="G4">
        <v>3.5131874646232548</v>
      </c>
      <c r="H4">
        <v>3.4727182761275728</v>
      </c>
      <c r="I4">
        <v>1.666617852910556</v>
      </c>
      <c r="J4">
        <v>1.6636186954579191</v>
      </c>
      <c r="K4">
        <v>1.0174291640631321</v>
      </c>
      <c r="L4">
        <v>1.0036032036964611</v>
      </c>
      <c r="M4">
        <v>0.49566215427061527</v>
      </c>
    </row>
    <row r="5" spans="1:19" x14ac:dyDescent="0.2">
      <c r="A5">
        <v>1</v>
      </c>
      <c r="B5">
        <v>260527</v>
      </c>
      <c r="C5" t="s">
        <v>26</v>
      </c>
      <c r="D5" t="s">
        <v>20</v>
      </c>
      <c r="E5" t="s">
        <v>27</v>
      </c>
      <c r="F5">
        <v>-1.175563152703325</v>
      </c>
      <c r="G5">
        <v>7.1150936544936174</v>
      </c>
      <c r="H5">
        <v>1.537985794849795</v>
      </c>
      <c r="I5">
        <v>3.813625919786916</v>
      </c>
      <c r="J5">
        <v>0.99508865943334091</v>
      </c>
      <c r="K5">
        <v>0.43744203944354643</v>
      </c>
      <c r="L5">
        <v>4.0284860665143772E-2</v>
      </c>
      <c r="M5">
        <v>-2.9446295021801219E-4</v>
      </c>
    </row>
    <row r="6" spans="1:19" x14ac:dyDescent="0.2">
      <c r="A6">
        <v>1</v>
      </c>
      <c r="B6">
        <v>260527</v>
      </c>
      <c r="C6" t="s">
        <v>28</v>
      </c>
      <c r="D6" t="s">
        <v>20</v>
      </c>
      <c r="E6" t="s">
        <v>29</v>
      </c>
      <c r="F6">
        <v>0.18733241929681901</v>
      </c>
      <c r="G6">
        <v>0.68277101253685446</v>
      </c>
      <c r="H6">
        <v>1.0165723609366411</v>
      </c>
      <c r="I6">
        <v>1.281327947939902</v>
      </c>
      <c r="J6">
        <v>3.8999049744169079</v>
      </c>
      <c r="K6">
        <v>3.9751727040368681</v>
      </c>
      <c r="L6">
        <v>3.9165939266754561</v>
      </c>
      <c r="M6">
        <v>3.7942517022135558</v>
      </c>
    </row>
    <row r="7" spans="1:19" x14ac:dyDescent="0.2">
      <c r="A7">
        <v>1</v>
      </c>
      <c r="B7">
        <v>260527</v>
      </c>
      <c r="C7" t="s">
        <v>30</v>
      </c>
      <c r="D7" t="s">
        <v>20</v>
      </c>
      <c r="E7" t="s">
        <v>31</v>
      </c>
      <c r="F7">
        <v>-2.6611654490105399</v>
      </c>
      <c r="G7">
        <v>1.0232921567971061</v>
      </c>
      <c r="H7">
        <v>-1.5638056131073761</v>
      </c>
      <c r="I7">
        <v>-0.51306642982124251</v>
      </c>
      <c r="J7">
        <v>3.5542804872438372</v>
      </c>
      <c r="K7">
        <v>-5.7617088424983018E-2</v>
      </c>
      <c r="L7">
        <v>1.4944925013688439</v>
      </c>
      <c r="M7">
        <v>0.73299578631385631</v>
      </c>
    </row>
    <row r="8" spans="1:19" x14ac:dyDescent="0.2">
      <c r="A8">
        <v>1</v>
      </c>
      <c r="B8">
        <v>260527</v>
      </c>
      <c r="C8" t="s">
        <v>32</v>
      </c>
      <c r="D8" t="s">
        <v>20</v>
      </c>
      <c r="E8" t="s">
        <v>33</v>
      </c>
      <c r="F8">
        <v>1.5084203405173049</v>
      </c>
      <c r="G8">
        <v>1.269033233763994</v>
      </c>
      <c r="H8">
        <v>0.64988237202318844</v>
      </c>
      <c r="I8">
        <v>0.25205711110394258</v>
      </c>
      <c r="J8">
        <v>0.87745729924231097</v>
      </c>
      <c r="K8">
        <v>0.81331685852307345</v>
      </c>
      <c r="L8">
        <v>0.58685194495592874</v>
      </c>
      <c r="M8">
        <v>0.11252090223059</v>
      </c>
    </row>
    <row r="9" spans="1:19" x14ac:dyDescent="0.2">
      <c r="A9">
        <v>1</v>
      </c>
      <c r="B9">
        <v>260527</v>
      </c>
      <c r="C9" t="s">
        <v>34</v>
      </c>
      <c r="D9" t="s">
        <v>20</v>
      </c>
      <c r="E9" t="s">
        <v>35</v>
      </c>
      <c r="F9">
        <v>5.1178736411944659</v>
      </c>
      <c r="G9">
        <v>5.3343705224246438</v>
      </c>
      <c r="H9">
        <v>4.7889387949204449</v>
      </c>
      <c r="I9">
        <v>4.3862216291658358</v>
      </c>
      <c r="J9">
        <v>2.0394558325429748</v>
      </c>
      <c r="K9">
        <v>1.8263544782611669</v>
      </c>
      <c r="L9">
        <v>1.430495202913312</v>
      </c>
      <c r="M9">
        <v>1.8657171347293111</v>
      </c>
    </row>
    <row r="10" spans="1:19" x14ac:dyDescent="0.2">
      <c r="A10">
        <v>1</v>
      </c>
      <c r="B10">
        <v>260527</v>
      </c>
      <c r="C10" t="s">
        <v>36</v>
      </c>
      <c r="D10" t="s">
        <v>20</v>
      </c>
      <c r="E10" t="s">
        <v>37</v>
      </c>
      <c r="F10">
        <v>-0.69371985922106805</v>
      </c>
      <c r="G10">
        <v>-0.67289514310247311</v>
      </c>
      <c r="H10">
        <v>-0.56800426783901059</v>
      </c>
      <c r="I10">
        <v>-1.354571097925231</v>
      </c>
      <c r="J10">
        <v>-0.34934504395975557</v>
      </c>
      <c r="K10">
        <v>-1.1382551169227531</v>
      </c>
      <c r="L10">
        <v>-1.293344084604672</v>
      </c>
      <c r="M10">
        <v>-1.5559011009659429</v>
      </c>
    </row>
    <row r="11" spans="1:19" x14ac:dyDescent="0.2">
      <c r="A11">
        <v>2</v>
      </c>
      <c r="B11">
        <v>260603</v>
      </c>
      <c r="C11" t="s">
        <v>36</v>
      </c>
      <c r="D11" t="s">
        <v>20</v>
      </c>
      <c r="E11" t="s">
        <v>38</v>
      </c>
      <c r="F11">
        <v>3.3156571417304228</v>
      </c>
      <c r="G11">
        <v>4.09770361555442</v>
      </c>
      <c r="H11">
        <v>3.8674157972414869</v>
      </c>
      <c r="I11">
        <v>3.383122404399844</v>
      </c>
      <c r="J11">
        <v>2.3075997518332581</v>
      </c>
      <c r="K11">
        <v>2.0647870476909249</v>
      </c>
      <c r="L11">
        <v>1.632652247766518</v>
      </c>
      <c r="M11">
        <v>1.4149032838764259</v>
      </c>
      <c r="N11">
        <v>11.7</v>
      </c>
      <c r="Q11">
        <f>((F11-0.00793)/0.1333)^(1/0.6199)</f>
        <v>177.77809595845335</v>
      </c>
      <c r="R11">
        <f>((H11-0.0166)/0.0825)^(1/0.6529)</f>
        <v>360.11287802255805</v>
      </c>
      <c r="S11">
        <f>((J11-0.06053)/0.0561)^(1/0.507)</f>
        <v>1448.9474929144126</v>
      </c>
    </row>
    <row r="12" spans="1:19" x14ac:dyDescent="0.2">
      <c r="A12">
        <v>2</v>
      </c>
      <c r="B12">
        <v>260603</v>
      </c>
      <c r="C12" t="s">
        <v>19</v>
      </c>
      <c r="D12" t="s">
        <v>20</v>
      </c>
      <c r="E12" t="s">
        <v>39</v>
      </c>
      <c r="F12">
        <v>2.6106164996543448</v>
      </c>
      <c r="G12">
        <v>2.7097620029012401</v>
      </c>
      <c r="H12">
        <v>2.369748588752667</v>
      </c>
      <c r="I12">
        <v>1.8317540572322051</v>
      </c>
      <c r="J12">
        <v>1.3020686786055631</v>
      </c>
      <c r="K12">
        <v>1.157981579719811</v>
      </c>
      <c r="L12">
        <v>0.87408788860496556</v>
      </c>
      <c r="M12">
        <v>0.776942954606336</v>
      </c>
      <c r="N12">
        <v>4.2</v>
      </c>
      <c r="Q12">
        <f t="shared" ref="Q12:Q23" si="0">((F12-0.00793)/0.1333)^(1/0.6199)</f>
        <v>120.76339901193512</v>
      </c>
      <c r="R12">
        <f t="shared" ref="R12:R23" si="1">((H12-0.0166)/0.0825)^(1/0.6529)</f>
        <v>169.36286827012839</v>
      </c>
      <c r="S12">
        <f t="shared" ref="S12:S23" si="2">((J12-0.06053)/0.0561)^(1/0.507)</f>
        <v>449.62952141353497</v>
      </c>
    </row>
    <row r="13" spans="1:19" x14ac:dyDescent="0.2">
      <c r="A13">
        <v>2</v>
      </c>
      <c r="B13">
        <v>260603</v>
      </c>
      <c r="C13" t="s">
        <v>22</v>
      </c>
      <c r="D13" t="s">
        <v>20</v>
      </c>
      <c r="E13" t="s">
        <v>40</v>
      </c>
      <c r="F13">
        <v>3.3069129278205769</v>
      </c>
      <c r="G13">
        <v>3.4642668874352771</v>
      </c>
      <c r="H13">
        <v>2.8314399447903931</v>
      </c>
      <c r="I13">
        <v>2.2083472993143691</v>
      </c>
      <c r="J13">
        <v>1.5960344859941189</v>
      </c>
      <c r="K13">
        <v>1.3141738068061151</v>
      </c>
      <c r="L13">
        <v>0.98341776995195218</v>
      </c>
      <c r="M13">
        <v>0.86254616248403571</v>
      </c>
      <c r="N13">
        <v>3.4</v>
      </c>
      <c r="Q13">
        <f t="shared" si="0"/>
        <v>177.02057358441056</v>
      </c>
      <c r="R13">
        <f t="shared" si="1"/>
        <v>222.83609363299513</v>
      </c>
      <c r="S13">
        <f t="shared" si="2"/>
        <v>683.73533462849502</v>
      </c>
    </row>
    <row r="14" spans="1:19" x14ac:dyDescent="0.2">
      <c r="A14">
        <v>2</v>
      </c>
      <c r="B14">
        <v>260603</v>
      </c>
      <c r="C14" t="s">
        <v>24</v>
      </c>
      <c r="D14" t="s">
        <v>20</v>
      </c>
      <c r="E14" t="s">
        <v>41</v>
      </c>
      <c r="F14">
        <v>6.3154597709349458</v>
      </c>
      <c r="G14">
        <v>6.8413731079576454</v>
      </c>
      <c r="H14">
        <v>6.3022122277274102</v>
      </c>
      <c r="I14">
        <v>5.5480757244529038</v>
      </c>
      <c r="J14">
        <v>4.8117353494778436</v>
      </c>
      <c r="K14">
        <v>4.5407591504229874</v>
      </c>
      <c r="L14">
        <v>4.3928130850518121</v>
      </c>
      <c r="M14">
        <v>4.2150829133829246</v>
      </c>
      <c r="N14">
        <v>2.4</v>
      </c>
      <c r="Q14">
        <f t="shared" si="0"/>
        <v>503.61163690176232</v>
      </c>
      <c r="R14">
        <f t="shared" si="1"/>
        <v>762.71311411778061</v>
      </c>
      <c r="S14">
        <f t="shared" si="2"/>
        <v>6345.2335723654796</v>
      </c>
    </row>
    <row r="15" spans="1:19" x14ac:dyDescent="0.2">
      <c r="A15">
        <v>2</v>
      </c>
      <c r="B15">
        <v>260603</v>
      </c>
      <c r="C15" t="s">
        <v>26</v>
      </c>
      <c r="D15" t="s">
        <v>20</v>
      </c>
      <c r="E15" t="s">
        <v>42</v>
      </c>
      <c r="F15">
        <v>3.2372068431581038</v>
      </c>
      <c r="G15">
        <v>2.1272246879965211</v>
      </c>
      <c r="H15">
        <v>2.490558521234949</v>
      </c>
      <c r="I15">
        <v>4.9515742888845047</v>
      </c>
      <c r="J15">
        <v>-0.90607892313223204</v>
      </c>
      <c r="K15">
        <v>0.14666022115822619</v>
      </c>
      <c r="L15">
        <v>-0.62101084399138229</v>
      </c>
      <c r="M15">
        <v>-7.2184175329319311E-2</v>
      </c>
      <c r="N15">
        <v>3.600000000000001</v>
      </c>
      <c r="Q15">
        <f t="shared" si="0"/>
        <v>171.02594236210263</v>
      </c>
      <c r="R15">
        <f t="shared" si="1"/>
        <v>182.86074553108088</v>
      </c>
      <c r="S15">
        <f>((ABS(J15-0.06053)/0.0561)^(1/0.507))</f>
        <v>274.43389460974214</v>
      </c>
    </row>
    <row r="16" spans="1:19" x14ac:dyDescent="0.2">
      <c r="A16">
        <v>2</v>
      </c>
      <c r="B16">
        <v>260603</v>
      </c>
      <c r="C16" t="s">
        <v>43</v>
      </c>
      <c r="D16" t="s">
        <v>20</v>
      </c>
      <c r="E16" t="s">
        <v>44</v>
      </c>
      <c r="F16">
        <v>2.3750065660868942</v>
      </c>
      <c r="G16">
        <v>2.690172196439963</v>
      </c>
      <c r="H16">
        <v>2.752541673512729</v>
      </c>
      <c r="I16">
        <v>2.3040683089360909</v>
      </c>
      <c r="J16">
        <v>1.777657518766125</v>
      </c>
      <c r="K16">
        <v>1.528101575143564</v>
      </c>
      <c r="L16">
        <v>1.284911676467029</v>
      </c>
      <c r="M16">
        <v>1.1317840796619021</v>
      </c>
      <c r="N16">
        <v>2.8</v>
      </c>
      <c r="Q16">
        <f t="shared" si="0"/>
        <v>103.62333951200496</v>
      </c>
      <c r="R16">
        <f t="shared" si="1"/>
        <v>213.34119434721609</v>
      </c>
      <c r="S16">
        <f t="shared" si="2"/>
        <v>852.4134040577427</v>
      </c>
    </row>
    <row r="17" spans="1:19" x14ac:dyDescent="0.2">
      <c r="A17">
        <v>3</v>
      </c>
      <c r="B17">
        <v>260610</v>
      </c>
      <c r="C17" t="s">
        <v>45</v>
      </c>
      <c r="D17" t="s">
        <v>20</v>
      </c>
      <c r="E17" t="s">
        <v>46</v>
      </c>
      <c r="F17">
        <v>1.2924325718092979</v>
      </c>
      <c r="G17">
        <v>1.4590725181591919</v>
      </c>
      <c r="H17">
        <v>1.218115197049358</v>
      </c>
      <c r="I17">
        <v>1.019441932787412</v>
      </c>
      <c r="J17">
        <v>0.84883647311035781</v>
      </c>
      <c r="K17">
        <v>0.82675144590589533</v>
      </c>
      <c r="L17">
        <v>0.91522758288079131</v>
      </c>
      <c r="M17">
        <v>1.052731302149448</v>
      </c>
      <c r="N17">
        <v>7</v>
      </c>
      <c r="Q17">
        <f t="shared" si="0"/>
        <v>38.654429866008641</v>
      </c>
      <c r="R17">
        <f t="shared" si="1"/>
        <v>60.493009602533064</v>
      </c>
      <c r="S17">
        <f t="shared" si="2"/>
        <v>183.55729951351148</v>
      </c>
    </row>
    <row r="18" spans="1:19" x14ac:dyDescent="0.2">
      <c r="A18">
        <v>3</v>
      </c>
      <c r="B18">
        <v>260610</v>
      </c>
      <c r="C18" t="s">
        <v>47</v>
      </c>
      <c r="D18" t="s">
        <v>20</v>
      </c>
      <c r="E18" t="s">
        <v>48</v>
      </c>
      <c r="F18">
        <v>1.4156452387327449</v>
      </c>
      <c r="G18">
        <v>1.5734150627984711</v>
      </c>
      <c r="H18">
        <v>1.353559555234144</v>
      </c>
      <c r="I18">
        <v>1.0961736517206739</v>
      </c>
      <c r="J18">
        <v>0.87049472973661779</v>
      </c>
      <c r="K18">
        <v>0.84443435330197925</v>
      </c>
      <c r="L18">
        <v>0.88935941889091519</v>
      </c>
      <c r="M18">
        <v>1.0107821129347541</v>
      </c>
      <c r="N18">
        <v>8.6000000000000014</v>
      </c>
      <c r="Q18">
        <f t="shared" si="0"/>
        <v>44.809556393956981</v>
      </c>
      <c r="R18">
        <f t="shared" si="1"/>
        <v>71.24524602944085</v>
      </c>
      <c r="S18">
        <f t="shared" si="2"/>
        <v>193.63713657960159</v>
      </c>
    </row>
    <row r="19" spans="1:19" x14ac:dyDescent="0.2">
      <c r="A19">
        <v>3</v>
      </c>
      <c r="B19">
        <v>260610</v>
      </c>
      <c r="C19" t="s">
        <v>49</v>
      </c>
      <c r="D19" t="s">
        <v>20</v>
      </c>
      <c r="E19" t="s">
        <v>50</v>
      </c>
      <c r="F19">
        <v>2.1376961036691742</v>
      </c>
      <c r="G19">
        <v>2.3400483953120972</v>
      </c>
      <c r="H19">
        <v>1.945719083884849</v>
      </c>
      <c r="I19">
        <v>1.5504801215602479</v>
      </c>
      <c r="J19">
        <v>1.146218022292647</v>
      </c>
      <c r="K19">
        <v>1.0370506292865831</v>
      </c>
      <c r="L19">
        <v>1.0262146365540981</v>
      </c>
      <c r="M19">
        <v>1.175208668009412</v>
      </c>
      <c r="N19">
        <v>15.7</v>
      </c>
      <c r="Q19">
        <f t="shared" si="0"/>
        <v>87.386633613521653</v>
      </c>
      <c r="R19">
        <f t="shared" si="1"/>
        <v>124.92619962730285</v>
      </c>
      <c r="S19">
        <f t="shared" si="2"/>
        <v>345.10641180080745</v>
      </c>
    </row>
    <row r="20" spans="1:19" x14ac:dyDescent="0.2">
      <c r="A20">
        <v>3</v>
      </c>
      <c r="B20">
        <v>260610</v>
      </c>
      <c r="C20" t="s">
        <v>51</v>
      </c>
      <c r="D20" t="s">
        <v>20</v>
      </c>
      <c r="E20" t="s">
        <v>52</v>
      </c>
      <c r="F20">
        <v>1.5887858195577711</v>
      </c>
      <c r="G20">
        <v>1.9584419216380391</v>
      </c>
      <c r="H20">
        <v>1.6057723667871171</v>
      </c>
      <c r="I20">
        <v>1.1296180783656</v>
      </c>
      <c r="J20">
        <v>0.68518392418199725</v>
      </c>
      <c r="K20">
        <v>0.53301472382156811</v>
      </c>
      <c r="L20">
        <v>0.44337300975249999</v>
      </c>
      <c r="M20">
        <v>0.56547408048779613</v>
      </c>
      <c r="N20">
        <v>15.600000000000001</v>
      </c>
      <c r="Q20">
        <f t="shared" si="0"/>
        <v>54.030340481125627</v>
      </c>
      <c r="R20">
        <f t="shared" si="1"/>
        <v>92.834364847098428</v>
      </c>
      <c r="S20">
        <f t="shared" si="2"/>
        <v>115.99810915769939</v>
      </c>
    </row>
    <row r="21" spans="1:19" x14ac:dyDescent="0.2">
      <c r="A21">
        <v>3</v>
      </c>
      <c r="B21">
        <v>260610</v>
      </c>
      <c r="C21" t="s">
        <v>53</v>
      </c>
      <c r="D21" t="s">
        <v>20</v>
      </c>
      <c r="E21" t="s">
        <v>54</v>
      </c>
      <c r="F21">
        <v>2.3405396228417348</v>
      </c>
      <c r="G21">
        <v>2.851382162426551</v>
      </c>
      <c r="H21">
        <v>2.6290416827977339</v>
      </c>
      <c r="I21">
        <v>2.147647946336424</v>
      </c>
      <c r="J21">
        <v>1.6079429042001689</v>
      </c>
      <c r="K21">
        <v>1.4112178010720049</v>
      </c>
      <c r="L21">
        <v>1.2894308834868859</v>
      </c>
      <c r="M21">
        <v>1.268446620406642</v>
      </c>
      <c r="N21">
        <v>9.1000000000000014</v>
      </c>
      <c r="Q21">
        <f t="shared" si="0"/>
        <v>101.20019313757651</v>
      </c>
      <c r="R21">
        <f t="shared" si="1"/>
        <v>198.76957521386748</v>
      </c>
      <c r="S21">
        <f t="shared" si="2"/>
        <v>694.23359679721034</v>
      </c>
    </row>
    <row r="22" spans="1:19" x14ac:dyDescent="0.2">
      <c r="A22">
        <v>3</v>
      </c>
      <c r="B22">
        <v>260610</v>
      </c>
      <c r="C22" t="s">
        <v>32</v>
      </c>
      <c r="D22" t="s">
        <v>20</v>
      </c>
      <c r="E22" t="s">
        <v>55</v>
      </c>
      <c r="F22">
        <v>2.393673507401759</v>
      </c>
      <c r="G22">
        <v>2.7455687506956781</v>
      </c>
      <c r="H22">
        <v>3.01005362944358</v>
      </c>
      <c r="I22">
        <v>2.915261182449798</v>
      </c>
      <c r="J22">
        <v>2.490377996291866</v>
      </c>
      <c r="K22">
        <v>2.2421465733554409</v>
      </c>
      <c r="L22">
        <v>2.084440401157778</v>
      </c>
      <c r="M22">
        <v>2.0531947484437172</v>
      </c>
      <c r="N22">
        <v>15</v>
      </c>
      <c r="Q22">
        <f t="shared" si="0"/>
        <v>104.94477047817384</v>
      </c>
      <c r="R22">
        <f t="shared" si="1"/>
        <v>244.85492702749451</v>
      </c>
      <c r="S22">
        <f t="shared" si="2"/>
        <v>1690.5963660950104</v>
      </c>
    </row>
    <row r="23" spans="1:19" x14ac:dyDescent="0.2">
      <c r="A23">
        <v>3</v>
      </c>
      <c r="B23">
        <v>260610</v>
      </c>
      <c r="C23" t="s">
        <v>34</v>
      </c>
      <c r="D23" t="s">
        <v>20</v>
      </c>
      <c r="E23" t="s">
        <v>56</v>
      </c>
      <c r="F23">
        <v>2.9932548166904658</v>
      </c>
      <c r="G23">
        <v>3.6004463298797531</v>
      </c>
      <c r="H23">
        <v>3.368494535816509</v>
      </c>
      <c r="I23">
        <v>2.919196995070243</v>
      </c>
      <c r="J23">
        <v>2.5362734330351708</v>
      </c>
      <c r="K23">
        <v>2.2753100917227549</v>
      </c>
      <c r="L23">
        <v>2.2634390975223062</v>
      </c>
      <c r="M23">
        <v>2.2828847863242339</v>
      </c>
      <c r="N23">
        <v>13.3</v>
      </c>
      <c r="Q23">
        <f t="shared" si="0"/>
        <v>150.67147512242065</v>
      </c>
      <c r="R23">
        <f t="shared" si="1"/>
        <v>291.16493197001876</v>
      </c>
      <c r="S23">
        <f t="shared" si="2"/>
        <v>1754.1575165399086</v>
      </c>
    </row>
    <row r="24" spans="1:19" x14ac:dyDescent="0.2">
      <c r="A24">
        <v>4</v>
      </c>
      <c r="B24">
        <v>260618</v>
      </c>
      <c r="C24" t="s">
        <v>19</v>
      </c>
      <c r="D24" t="s">
        <v>20</v>
      </c>
      <c r="E24" t="s">
        <v>57</v>
      </c>
      <c r="F24">
        <v>3.602378435448391</v>
      </c>
      <c r="G24">
        <v>3.9965896131716532</v>
      </c>
      <c r="H24">
        <v>3.3397927532403089</v>
      </c>
      <c r="I24">
        <v>2.6070981089397569</v>
      </c>
      <c r="J24">
        <v>2.005659811485041</v>
      </c>
      <c r="K24">
        <v>1.691759744463885</v>
      </c>
      <c r="L24">
        <v>1.2155511483742609</v>
      </c>
      <c r="M24">
        <v>0.88701111032737512</v>
      </c>
    </row>
    <row r="25" spans="1:19" x14ac:dyDescent="0.2">
      <c r="A25">
        <v>4</v>
      </c>
      <c r="B25">
        <v>260618</v>
      </c>
      <c r="C25" t="s">
        <v>19</v>
      </c>
      <c r="D25" t="s">
        <v>58</v>
      </c>
      <c r="E25" t="s">
        <v>59</v>
      </c>
      <c r="F25">
        <v>1.8330669540299269</v>
      </c>
      <c r="G25">
        <v>2.213264156975884</v>
      </c>
      <c r="H25">
        <v>1.763302518638872</v>
      </c>
      <c r="I25">
        <v>1.161325672043976</v>
      </c>
      <c r="J25">
        <v>0.37736268237865422</v>
      </c>
      <c r="K25">
        <v>0.2286758768227182</v>
      </c>
      <c r="L25">
        <v>0.1270736949795907</v>
      </c>
      <c r="M25">
        <v>9.7217681327413832E-2</v>
      </c>
    </row>
    <row r="26" spans="1:19" x14ac:dyDescent="0.2">
      <c r="A26">
        <v>4</v>
      </c>
      <c r="B26">
        <v>260618</v>
      </c>
      <c r="C26" t="s">
        <v>22</v>
      </c>
      <c r="D26" t="s">
        <v>20</v>
      </c>
      <c r="E26" t="s">
        <v>60</v>
      </c>
      <c r="F26">
        <v>1.9411557504444159</v>
      </c>
      <c r="G26">
        <v>2.3384214121354439</v>
      </c>
      <c r="H26">
        <v>2.203601254179556</v>
      </c>
      <c r="I26">
        <v>1.6971042711668729</v>
      </c>
      <c r="J26">
        <v>1.224886976981771</v>
      </c>
      <c r="K26">
        <v>1.046233352180828</v>
      </c>
      <c r="L26">
        <v>0.93351458667660836</v>
      </c>
      <c r="M26">
        <v>0.96760908741218377</v>
      </c>
    </row>
    <row r="27" spans="1:19" x14ac:dyDescent="0.2">
      <c r="A27">
        <v>4</v>
      </c>
      <c r="B27">
        <v>260618</v>
      </c>
      <c r="C27" t="s">
        <v>22</v>
      </c>
      <c r="D27" t="s">
        <v>58</v>
      </c>
      <c r="E27" t="s">
        <v>61</v>
      </c>
      <c r="F27">
        <v>1.7665827044596301</v>
      </c>
      <c r="G27">
        <v>2.146418601831324</v>
      </c>
      <c r="H27">
        <v>1.930294516195731</v>
      </c>
      <c r="I27">
        <v>1.1805567603366041</v>
      </c>
      <c r="J27">
        <v>0.92701075310255721</v>
      </c>
      <c r="K27">
        <v>0.66363218404526958</v>
      </c>
      <c r="L27">
        <v>0.52826675241182108</v>
      </c>
      <c r="M27">
        <v>0.52500727569203187</v>
      </c>
    </row>
    <row r="28" spans="1:19" x14ac:dyDescent="0.2">
      <c r="A28">
        <v>4</v>
      </c>
      <c r="B28">
        <v>260618</v>
      </c>
      <c r="C28" t="s">
        <v>24</v>
      </c>
      <c r="D28" t="s">
        <v>20</v>
      </c>
      <c r="E28" t="s">
        <v>62</v>
      </c>
      <c r="F28">
        <v>4.2016482181175574</v>
      </c>
      <c r="G28">
        <v>4.835012226625639</v>
      </c>
      <c r="H28">
        <v>4.8533596769831009</v>
      </c>
      <c r="I28">
        <v>4.2726230556657594</v>
      </c>
      <c r="J28">
        <v>3.627620908507641</v>
      </c>
      <c r="K28">
        <v>3.3334591022115898</v>
      </c>
      <c r="L28">
        <v>3.0554094158953489</v>
      </c>
      <c r="M28">
        <v>2.870916537647882</v>
      </c>
    </row>
    <row r="29" spans="1:19" x14ac:dyDescent="0.2">
      <c r="A29">
        <v>4</v>
      </c>
      <c r="B29">
        <v>260618</v>
      </c>
      <c r="C29" t="s">
        <v>24</v>
      </c>
      <c r="D29" t="s">
        <v>58</v>
      </c>
      <c r="E29" t="s">
        <v>63</v>
      </c>
      <c r="F29">
        <v>2.606011659053626</v>
      </c>
      <c r="G29">
        <v>2.8470223242141941</v>
      </c>
      <c r="H29">
        <v>3.1718630821645069</v>
      </c>
      <c r="I29">
        <v>2.859749534047404</v>
      </c>
      <c r="J29">
        <v>2.201061240449417</v>
      </c>
      <c r="K29">
        <v>1.985023990667627</v>
      </c>
      <c r="L29">
        <v>1.650427797935375</v>
      </c>
      <c r="M29">
        <v>1.5313290205486561</v>
      </c>
    </row>
    <row r="30" spans="1:19" x14ac:dyDescent="0.2">
      <c r="A30">
        <v>4</v>
      </c>
      <c r="B30">
        <v>260618</v>
      </c>
      <c r="C30" t="s">
        <v>26</v>
      </c>
      <c r="D30" t="s">
        <v>20</v>
      </c>
      <c r="E30" t="s">
        <v>64</v>
      </c>
      <c r="F30">
        <v>3.1920655805188769</v>
      </c>
      <c r="G30">
        <v>3.7199768454245961</v>
      </c>
      <c r="H30">
        <v>3.4662381827699948</v>
      </c>
      <c r="I30">
        <v>2.819654101899276</v>
      </c>
      <c r="J30">
        <v>2.2305536513839859</v>
      </c>
      <c r="K30">
        <v>1.895213152315848</v>
      </c>
      <c r="L30">
        <v>1.4060093897472401</v>
      </c>
      <c r="M30">
        <v>1.177444646775835</v>
      </c>
    </row>
    <row r="31" spans="1:19" x14ac:dyDescent="0.2">
      <c r="A31">
        <v>4</v>
      </c>
      <c r="B31">
        <v>260618</v>
      </c>
      <c r="C31" t="s">
        <v>26</v>
      </c>
      <c r="D31" t="s">
        <v>58</v>
      </c>
      <c r="E31" t="s">
        <v>65</v>
      </c>
      <c r="F31">
        <v>2.1059228006982482</v>
      </c>
      <c r="G31">
        <v>2.421006646456906</v>
      </c>
      <c r="H31">
        <v>2.6783930549586219</v>
      </c>
      <c r="I31">
        <v>2.5680636152063681</v>
      </c>
      <c r="J31">
        <v>1.9477351140056729</v>
      </c>
      <c r="K31">
        <v>1.7037541733748289</v>
      </c>
      <c r="L31">
        <v>1.425522944935133</v>
      </c>
      <c r="M31">
        <v>1.2849289234593511</v>
      </c>
    </row>
    <row r="32" spans="1:19" x14ac:dyDescent="0.2">
      <c r="A32">
        <v>4</v>
      </c>
      <c r="B32">
        <v>260618</v>
      </c>
      <c r="C32" t="s">
        <v>43</v>
      </c>
      <c r="D32" t="s">
        <v>20</v>
      </c>
      <c r="E32" t="s">
        <v>66</v>
      </c>
      <c r="F32">
        <v>5.5818885235783142</v>
      </c>
      <c r="G32">
        <v>6.5808104051733158</v>
      </c>
      <c r="H32">
        <v>6.1814854865326971</v>
      </c>
      <c r="I32">
        <v>5.320063422914429</v>
      </c>
      <c r="J32">
        <v>4.419466129919047</v>
      </c>
      <c r="K32">
        <v>3.9636060472419512</v>
      </c>
      <c r="L32">
        <v>3.5922468932816929</v>
      </c>
      <c r="M32">
        <v>3.3800757967076649</v>
      </c>
    </row>
    <row r="33" spans="1:13" x14ac:dyDescent="0.2">
      <c r="A33">
        <v>4</v>
      </c>
      <c r="B33">
        <v>260618</v>
      </c>
      <c r="C33" t="s">
        <v>43</v>
      </c>
      <c r="D33" t="s">
        <v>58</v>
      </c>
      <c r="E33" t="s">
        <v>67</v>
      </c>
      <c r="F33">
        <v>3.2664140102524928</v>
      </c>
      <c r="G33">
        <v>4.1661657341163609</v>
      </c>
      <c r="H33">
        <v>4.0555658276328446</v>
      </c>
      <c r="I33">
        <v>3.2029659475823711</v>
      </c>
      <c r="J33">
        <v>2.8424862185159401</v>
      </c>
      <c r="K33">
        <v>2.5005735931170099</v>
      </c>
      <c r="L33">
        <v>2.0552282534162538</v>
      </c>
      <c r="M33">
        <v>2.014786342227167</v>
      </c>
    </row>
    <row r="34" spans="1:13" x14ac:dyDescent="0.2">
      <c r="A34">
        <v>4</v>
      </c>
      <c r="B34">
        <v>260618</v>
      </c>
      <c r="C34" t="s">
        <v>36</v>
      </c>
      <c r="D34" t="s">
        <v>20</v>
      </c>
      <c r="E34" t="s">
        <v>68</v>
      </c>
      <c r="F34">
        <v>3.264551072611487</v>
      </c>
      <c r="G34">
        <v>3.7043410443385558</v>
      </c>
      <c r="H34">
        <v>3.6391679243064412</v>
      </c>
      <c r="I34">
        <v>3.0956522520431942</v>
      </c>
      <c r="J34">
        <v>2.683005964330246</v>
      </c>
      <c r="K34">
        <v>2.427748808867114</v>
      </c>
      <c r="L34">
        <v>2.1741785527660982</v>
      </c>
      <c r="M34">
        <v>1.9557347877635829</v>
      </c>
    </row>
    <row r="35" spans="1:13" x14ac:dyDescent="0.2">
      <c r="A35">
        <v>4</v>
      </c>
      <c r="B35">
        <v>260618</v>
      </c>
      <c r="C35" t="s">
        <v>36</v>
      </c>
      <c r="D35" t="s">
        <v>58</v>
      </c>
      <c r="E35" t="s">
        <v>69</v>
      </c>
      <c r="F35">
        <v>2.2172967897567668</v>
      </c>
      <c r="G35">
        <v>2.388025971630733</v>
      </c>
      <c r="H35">
        <v>2.1198657494860642</v>
      </c>
      <c r="I35">
        <v>1.510446664369725</v>
      </c>
      <c r="J35">
        <v>1.06296438699984</v>
      </c>
      <c r="K35">
        <v>0.95045445830600028</v>
      </c>
      <c r="L35">
        <v>0.65256683487568679</v>
      </c>
      <c r="M35">
        <v>0.63235723702587365</v>
      </c>
    </row>
    <row r="36" spans="1:13" x14ac:dyDescent="0.2">
      <c r="A36">
        <v>5</v>
      </c>
      <c r="B36">
        <v>260625</v>
      </c>
      <c r="C36" t="s">
        <v>45</v>
      </c>
      <c r="D36" t="s">
        <v>58</v>
      </c>
      <c r="E36" t="s">
        <v>70</v>
      </c>
    </row>
    <row r="37" spans="1:13" x14ac:dyDescent="0.2">
      <c r="A37">
        <v>5</v>
      </c>
      <c r="B37">
        <v>260625</v>
      </c>
      <c r="C37" t="s">
        <v>47</v>
      </c>
      <c r="D37" t="s">
        <v>58</v>
      </c>
      <c r="E37" t="s">
        <v>71</v>
      </c>
    </row>
    <row r="38" spans="1:13" x14ac:dyDescent="0.2">
      <c r="A38">
        <v>5</v>
      </c>
      <c r="B38">
        <v>260625</v>
      </c>
      <c r="C38" t="s">
        <v>49</v>
      </c>
      <c r="D38" t="s">
        <v>58</v>
      </c>
      <c r="E38" t="s">
        <v>72</v>
      </c>
    </row>
    <row r="39" spans="1:13" x14ac:dyDescent="0.2">
      <c r="A39">
        <v>5</v>
      </c>
      <c r="B39">
        <v>260625</v>
      </c>
      <c r="C39" t="s">
        <v>51</v>
      </c>
      <c r="D39" t="s">
        <v>58</v>
      </c>
      <c r="E39" t="s">
        <v>73</v>
      </c>
    </row>
    <row r="40" spans="1:13" x14ac:dyDescent="0.2">
      <c r="A40">
        <v>5</v>
      </c>
      <c r="B40">
        <v>260625</v>
      </c>
      <c r="C40" t="s">
        <v>53</v>
      </c>
      <c r="D40" t="s">
        <v>58</v>
      </c>
      <c r="E40" t="s">
        <v>74</v>
      </c>
    </row>
    <row r="41" spans="1:13" x14ac:dyDescent="0.2">
      <c r="A41">
        <v>5</v>
      </c>
      <c r="B41">
        <v>260625</v>
      </c>
      <c r="C41" t="s">
        <v>75</v>
      </c>
      <c r="D41" t="s">
        <v>58</v>
      </c>
      <c r="E41" t="s">
        <v>76</v>
      </c>
    </row>
    <row r="42" spans="1:13" x14ac:dyDescent="0.2">
      <c r="A42">
        <v>5</v>
      </c>
      <c r="B42">
        <v>260625</v>
      </c>
      <c r="C42" t="s">
        <v>34</v>
      </c>
      <c r="D42" t="s">
        <v>58</v>
      </c>
      <c r="E42" t="s">
        <v>77</v>
      </c>
    </row>
    <row r="43" spans="1:13" x14ac:dyDescent="0.2">
      <c r="A43">
        <v>5</v>
      </c>
      <c r="B43">
        <v>260625</v>
      </c>
      <c r="C43" t="s">
        <v>32</v>
      </c>
      <c r="D43" t="s">
        <v>58</v>
      </c>
      <c r="E43" t="s">
        <v>78</v>
      </c>
    </row>
    <row r="44" spans="1:13" x14ac:dyDescent="0.2">
      <c r="A44">
        <v>6</v>
      </c>
      <c r="B44">
        <v>260702</v>
      </c>
      <c r="C44" t="s">
        <v>45</v>
      </c>
      <c r="D44" t="s">
        <v>58</v>
      </c>
      <c r="E44" t="s">
        <v>79</v>
      </c>
    </row>
    <row r="45" spans="1:13" x14ac:dyDescent="0.2">
      <c r="A45">
        <v>6</v>
      </c>
      <c r="B45">
        <v>260702</v>
      </c>
      <c r="C45" t="s">
        <v>80</v>
      </c>
      <c r="D45" t="s">
        <v>58</v>
      </c>
      <c r="E45" t="s">
        <v>81</v>
      </c>
    </row>
    <row r="46" spans="1:13" x14ac:dyDescent="0.2">
      <c r="A46">
        <v>6</v>
      </c>
      <c r="B46">
        <v>260702</v>
      </c>
      <c r="C46" t="s">
        <v>82</v>
      </c>
      <c r="D46" t="s">
        <v>58</v>
      </c>
      <c r="E46" t="s">
        <v>83</v>
      </c>
    </row>
    <row r="47" spans="1:13" x14ac:dyDescent="0.2">
      <c r="A47">
        <v>6</v>
      </c>
      <c r="B47">
        <v>260702</v>
      </c>
      <c r="C47" t="s">
        <v>49</v>
      </c>
      <c r="D47" t="s">
        <v>58</v>
      </c>
      <c r="E47" t="s">
        <v>84</v>
      </c>
    </row>
    <row r="48" spans="1:13" x14ac:dyDescent="0.2">
      <c r="A48">
        <v>6</v>
      </c>
      <c r="B48">
        <v>260702</v>
      </c>
      <c r="C48" t="s">
        <v>51</v>
      </c>
      <c r="D48" t="s">
        <v>58</v>
      </c>
      <c r="E48" t="s">
        <v>85</v>
      </c>
    </row>
    <row r="49" spans="1:5" x14ac:dyDescent="0.2">
      <c r="A49">
        <v>6</v>
      </c>
      <c r="B49">
        <v>260702</v>
      </c>
      <c r="C49" t="s">
        <v>53</v>
      </c>
      <c r="D49" t="s">
        <v>58</v>
      </c>
      <c r="E49" t="s">
        <v>86</v>
      </c>
    </row>
    <row r="50" spans="1:5" x14ac:dyDescent="0.2">
      <c r="A50">
        <v>6</v>
      </c>
      <c r="B50">
        <v>260702</v>
      </c>
      <c r="C50" t="s">
        <v>75</v>
      </c>
      <c r="D50" t="s">
        <v>58</v>
      </c>
      <c r="E50" t="s">
        <v>87</v>
      </c>
    </row>
    <row r="51" spans="1:5" x14ac:dyDescent="0.2">
      <c r="A51">
        <v>6</v>
      </c>
      <c r="B51">
        <v>260702</v>
      </c>
      <c r="C51" t="s">
        <v>34</v>
      </c>
      <c r="D51" t="s">
        <v>58</v>
      </c>
      <c r="E51" t="s">
        <v>88</v>
      </c>
    </row>
    <row r="52" spans="1:5" x14ac:dyDescent="0.2">
      <c r="A52">
        <v>6</v>
      </c>
      <c r="B52">
        <v>260702</v>
      </c>
      <c r="C52" t="s">
        <v>32</v>
      </c>
      <c r="D52" t="s">
        <v>58</v>
      </c>
      <c r="E52" t="s">
        <v>89</v>
      </c>
    </row>
    <row r="53" spans="1:5" x14ac:dyDescent="0.2">
      <c r="A53">
        <v>7</v>
      </c>
      <c r="B53">
        <v>260709</v>
      </c>
      <c r="C53" t="s">
        <v>36</v>
      </c>
      <c r="D53" t="s">
        <v>58</v>
      </c>
      <c r="E53" t="s">
        <v>90</v>
      </c>
    </row>
    <row r="54" spans="1:5" x14ac:dyDescent="0.2">
      <c r="A54">
        <v>7</v>
      </c>
      <c r="B54">
        <v>260709</v>
      </c>
      <c r="C54" t="s">
        <v>19</v>
      </c>
      <c r="D54" t="s">
        <v>58</v>
      </c>
      <c r="E54" t="s">
        <v>91</v>
      </c>
    </row>
    <row r="55" spans="1:5" x14ac:dyDescent="0.2">
      <c r="A55">
        <v>7</v>
      </c>
      <c r="B55">
        <v>260709</v>
      </c>
      <c r="C55" t="s">
        <v>22</v>
      </c>
      <c r="D55" t="s">
        <v>58</v>
      </c>
      <c r="E55" t="s">
        <v>92</v>
      </c>
    </row>
    <row r="56" spans="1:5" x14ac:dyDescent="0.2">
      <c r="A56">
        <v>7</v>
      </c>
      <c r="B56">
        <v>260709</v>
      </c>
      <c r="C56" t="s">
        <v>24</v>
      </c>
      <c r="D56" t="s">
        <v>58</v>
      </c>
      <c r="E56" t="s">
        <v>93</v>
      </c>
    </row>
    <row r="57" spans="1:5" x14ac:dyDescent="0.2">
      <c r="A57">
        <v>7</v>
      </c>
      <c r="B57">
        <v>260709</v>
      </c>
      <c r="C57" t="s">
        <v>94</v>
      </c>
      <c r="D57" t="s">
        <v>58</v>
      </c>
      <c r="E57" t="s">
        <v>95</v>
      </c>
    </row>
    <row r="58" spans="1:5" x14ac:dyDescent="0.2">
      <c r="A58">
        <v>7</v>
      </c>
      <c r="B58">
        <v>260709</v>
      </c>
      <c r="C58" t="s">
        <v>96</v>
      </c>
      <c r="D58" t="s">
        <v>58</v>
      </c>
      <c r="E58" t="s">
        <v>97</v>
      </c>
    </row>
    <row r="59" spans="1:5" x14ac:dyDescent="0.2">
      <c r="A59">
        <v>7</v>
      </c>
      <c r="B59">
        <v>260709</v>
      </c>
      <c r="C59" t="s">
        <v>43</v>
      </c>
      <c r="D59" t="s">
        <v>58</v>
      </c>
      <c r="E59" t="s">
        <v>98</v>
      </c>
    </row>
    <row r="60" spans="1:5" x14ac:dyDescent="0.2">
      <c r="A60">
        <v>8</v>
      </c>
      <c r="B60">
        <v>260716</v>
      </c>
      <c r="C60" t="s">
        <v>45</v>
      </c>
      <c r="D60" t="s">
        <v>58</v>
      </c>
      <c r="E60" t="s">
        <v>99</v>
      </c>
    </row>
    <row r="61" spans="1:5" x14ac:dyDescent="0.2">
      <c r="A61">
        <v>8</v>
      </c>
      <c r="B61">
        <v>260716</v>
      </c>
      <c r="C61" t="s">
        <v>47</v>
      </c>
      <c r="D61" t="s">
        <v>58</v>
      </c>
      <c r="E61" t="s">
        <v>100</v>
      </c>
    </row>
    <row r="62" spans="1:5" x14ac:dyDescent="0.2">
      <c r="A62">
        <v>8</v>
      </c>
      <c r="B62">
        <v>260716</v>
      </c>
      <c r="C62" t="s">
        <v>49</v>
      </c>
      <c r="D62" t="s">
        <v>58</v>
      </c>
      <c r="E62" t="s">
        <v>101</v>
      </c>
    </row>
    <row r="63" spans="1:5" x14ac:dyDescent="0.2">
      <c r="A63">
        <v>8</v>
      </c>
      <c r="B63">
        <v>260716</v>
      </c>
      <c r="C63" t="s">
        <v>51</v>
      </c>
      <c r="D63" t="s">
        <v>58</v>
      </c>
      <c r="E63" t="s">
        <v>102</v>
      </c>
    </row>
    <row r="64" spans="1:5" x14ac:dyDescent="0.2">
      <c r="A64">
        <v>8</v>
      </c>
      <c r="B64">
        <v>260716</v>
      </c>
      <c r="C64" t="s">
        <v>53</v>
      </c>
      <c r="D64" t="s">
        <v>58</v>
      </c>
      <c r="E64" t="s">
        <v>103</v>
      </c>
    </row>
    <row r="65" spans="1:5" x14ac:dyDescent="0.2">
      <c r="A65">
        <v>8</v>
      </c>
      <c r="B65">
        <v>260716</v>
      </c>
      <c r="C65" t="s">
        <v>75</v>
      </c>
      <c r="D65" t="s">
        <v>58</v>
      </c>
      <c r="E65" t="s">
        <v>104</v>
      </c>
    </row>
    <row r="66" spans="1:5" x14ac:dyDescent="0.2">
      <c r="A66">
        <v>8</v>
      </c>
      <c r="B66">
        <v>260716</v>
      </c>
      <c r="C66" t="s">
        <v>36</v>
      </c>
      <c r="D66" t="s">
        <v>58</v>
      </c>
      <c r="E66" t="s">
        <v>105</v>
      </c>
    </row>
    <row r="67" spans="1:5" x14ac:dyDescent="0.2">
      <c r="A67">
        <v>9</v>
      </c>
      <c r="B67">
        <v>260728</v>
      </c>
      <c r="C67" t="s">
        <v>19</v>
      </c>
      <c r="D67" t="s">
        <v>58</v>
      </c>
      <c r="E67" t="s">
        <v>106</v>
      </c>
    </row>
    <row r="68" spans="1:5" x14ac:dyDescent="0.2">
      <c r="A68">
        <v>9</v>
      </c>
      <c r="B68">
        <v>260728</v>
      </c>
      <c r="C68" t="s">
        <v>107</v>
      </c>
      <c r="D68" t="s">
        <v>58</v>
      </c>
      <c r="E68" t="s">
        <v>108</v>
      </c>
    </row>
    <row r="69" spans="1:5" x14ac:dyDescent="0.2">
      <c r="A69">
        <v>9</v>
      </c>
      <c r="B69">
        <v>260728</v>
      </c>
      <c r="C69" t="s">
        <v>109</v>
      </c>
      <c r="D69" t="s">
        <v>58</v>
      </c>
      <c r="E69" t="s">
        <v>110</v>
      </c>
    </row>
    <row r="70" spans="1:5" x14ac:dyDescent="0.2">
      <c r="A70">
        <v>9</v>
      </c>
      <c r="B70">
        <v>260728</v>
      </c>
      <c r="C70" t="s">
        <v>24</v>
      </c>
      <c r="D70" t="s">
        <v>58</v>
      </c>
      <c r="E70" t="s">
        <v>111</v>
      </c>
    </row>
    <row r="71" spans="1:5" x14ac:dyDescent="0.2">
      <c r="A71">
        <v>9</v>
      </c>
      <c r="B71">
        <v>260728</v>
      </c>
      <c r="C71" t="s">
        <v>26</v>
      </c>
      <c r="D71" t="s">
        <v>58</v>
      </c>
      <c r="E71" t="s">
        <v>112</v>
      </c>
    </row>
    <row r="72" spans="1:5" x14ac:dyDescent="0.2">
      <c r="A72">
        <v>9</v>
      </c>
      <c r="B72">
        <v>260728</v>
      </c>
      <c r="C72" t="s">
        <v>43</v>
      </c>
      <c r="D72" t="s">
        <v>58</v>
      </c>
      <c r="E72" t="s">
        <v>113</v>
      </c>
    </row>
    <row r="73" spans="1:5" x14ac:dyDescent="0.2">
      <c r="A73">
        <v>9</v>
      </c>
      <c r="B73">
        <v>260728</v>
      </c>
      <c r="C73" t="s">
        <v>114</v>
      </c>
      <c r="D73" t="s">
        <v>58</v>
      </c>
      <c r="E73" t="s">
        <v>115</v>
      </c>
    </row>
    <row r="74" spans="1:5" x14ac:dyDescent="0.2">
      <c r="A74">
        <v>9</v>
      </c>
      <c r="B74">
        <v>260728</v>
      </c>
      <c r="C74" t="s">
        <v>116</v>
      </c>
      <c r="D74" t="s">
        <v>58</v>
      </c>
      <c r="E74" t="s">
        <v>117</v>
      </c>
    </row>
    <row r="75" spans="1:5" x14ac:dyDescent="0.2">
      <c r="A75">
        <v>9</v>
      </c>
      <c r="B75">
        <v>260728</v>
      </c>
      <c r="C75" t="s">
        <v>34</v>
      </c>
      <c r="D75" t="s">
        <v>58</v>
      </c>
      <c r="E75" t="s">
        <v>118</v>
      </c>
    </row>
    <row r="76" spans="1:5" x14ac:dyDescent="0.2">
      <c r="A76">
        <v>10</v>
      </c>
      <c r="B76">
        <v>260805</v>
      </c>
      <c r="C76" t="s">
        <v>45</v>
      </c>
      <c r="D76" t="s">
        <v>58</v>
      </c>
      <c r="E76" t="s">
        <v>119</v>
      </c>
    </row>
    <row r="77" spans="1:5" x14ac:dyDescent="0.2">
      <c r="A77">
        <v>10</v>
      </c>
      <c r="B77">
        <v>260805</v>
      </c>
      <c r="C77" t="s">
        <v>47</v>
      </c>
      <c r="D77" t="s">
        <v>58</v>
      </c>
      <c r="E77" t="s">
        <v>120</v>
      </c>
    </row>
    <row r="78" spans="1:5" x14ac:dyDescent="0.2">
      <c r="A78">
        <v>10</v>
      </c>
      <c r="B78">
        <v>260805</v>
      </c>
      <c r="C78" t="s">
        <v>49</v>
      </c>
      <c r="D78" t="s">
        <v>58</v>
      </c>
      <c r="E78" t="s">
        <v>121</v>
      </c>
    </row>
    <row r="79" spans="1:5" x14ac:dyDescent="0.2">
      <c r="A79">
        <v>10</v>
      </c>
      <c r="B79">
        <v>260805</v>
      </c>
      <c r="C79" t="s">
        <v>51</v>
      </c>
      <c r="D79" t="s">
        <v>58</v>
      </c>
      <c r="E79" t="s">
        <v>122</v>
      </c>
    </row>
    <row r="80" spans="1:5" x14ac:dyDescent="0.2">
      <c r="A80">
        <v>10</v>
      </c>
      <c r="B80">
        <v>260805</v>
      </c>
      <c r="C80" t="s">
        <v>53</v>
      </c>
      <c r="D80" t="s">
        <v>58</v>
      </c>
      <c r="E80" t="s">
        <v>123</v>
      </c>
    </row>
    <row r="81" spans="1:5" x14ac:dyDescent="0.2">
      <c r="A81">
        <v>10</v>
      </c>
      <c r="B81">
        <v>260805</v>
      </c>
      <c r="C81" t="s">
        <v>75</v>
      </c>
      <c r="D81" t="s">
        <v>58</v>
      </c>
      <c r="E81" t="s">
        <v>124</v>
      </c>
    </row>
    <row r="82" spans="1:5" x14ac:dyDescent="0.2">
      <c r="A82">
        <v>10</v>
      </c>
      <c r="B82">
        <v>260805</v>
      </c>
      <c r="C82" t="s">
        <v>36</v>
      </c>
      <c r="D82" t="s">
        <v>58</v>
      </c>
      <c r="E82" t="s">
        <v>125</v>
      </c>
    </row>
    <row r="83" spans="1:5" x14ac:dyDescent="0.2">
      <c r="A83">
        <v>11</v>
      </c>
      <c r="B83">
        <v>260811</v>
      </c>
      <c r="C83" t="s">
        <v>36</v>
      </c>
      <c r="D83" t="s">
        <v>58</v>
      </c>
      <c r="E83" t="s">
        <v>126</v>
      </c>
    </row>
    <row r="84" spans="1:5" x14ac:dyDescent="0.2">
      <c r="A84">
        <v>11</v>
      </c>
      <c r="B84">
        <v>260811</v>
      </c>
      <c r="C84" t="s">
        <v>19</v>
      </c>
      <c r="D84" t="s">
        <v>58</v>
      </c>
      <c r="E84" t="s">
        <v>127</v>
      </c>
    </row>
    <row r="85" spans="1:5" x14ac:dyDescent="0.2">
      <c r="A85">
        <v>11</v>
      </c>
      <c r="B85">
        <v>260811</v>
      </c>
      <c r="C85" t="s">
        <v>107</v>
      </c>
      <c r="D85" t="s">
        <v>58</v>
      </c>
      <c r="E85" t="s">
        <v>128</v>
      </c>
    </row>
    <row r="86" spans="1:5" x14ac:dyDescent="0.2">
      <c r="A86">
        <v>11</v>
      </c>
      <c r="B86">
        <v>260811</v>
      </c>
      <c r="C86" t="s">
        <v>109</v>
      </c>
      <c r="D86" t="s">
        <v>58</v>
      </c>
      <c r="E86" t="s">
        <v>129</v>
      </c>
    </row>
    <row r="87" spans="1:5" x14ac:dyDescent="0.2">
      <c r="A87">
        <v>11</v>
      </c>
      <c r="B87">
        <v>260811</v>
      </c>
      <c r="C87" t="s">
        <v>24</v>
      </c>
      <c r="D87" t="s">
        <v>58</v>
      </c>
      <c r="E87" t="s">
        <v>130</v>
      </c>
    </row>
    <row r="88" spans="1:5" x14ac:dyDescent="0.2">
      <c r="A88">
        <v>11</v>
      </c>
      <c r="B88">
        <v>260811</v>
      </c>
      <c r="C88" t="s">
        <v>26</v>
      </c>
      <c r="D88" t="s">
        <v>20</v>
      </c>
      <c r="E88" t="s">
        <v>131</v>
      </c>
    </row>
    <row r="89" spans="1:5" x14ac:dyDescent="0.2">
      <c r="A89">
        <v>11</v>
      </c>
      <c r="B89">
        <v>260811</v>
      </c>
      <c r="C89" t="s">
        <v>43</v>
      </c>
      <c r="D89" t="s">
        <v>20</v>
      </c>
      <c r="E89" t="s">
        <v>132</v>
      </c>
    </row>
    <row r="90" spans="1:5" x14ac:dyDescent="0.2">
      <c r="A90">
        <v>12</v>
      </c>
      <c r="B90">
        <v>260814</v>
      </c>
      <c r="C90" t="s">
        <v>45</v>
      </c>
      <c r="D90" t="s">
        <v>20</v>
      </c>
      <c r="E90" t="s">
        <v>133</v>
      </c>
    </row>
    <row r="91" spans="1:5" x14ac:dyDescent="0.2">
      <c r="A91">
        <v>12</v>
      </c>
      <c r="B91">
        <v>260814</v>
      </c>
      <c r="C91" t="s">
        <v>47</v>
      </c>
      <c r="D91" t="s">
        <v>20</v>
      </c>
      <c r="E91" t="s">
        <v>134</v>
      </c>
    </row>
    <row r="92" spans="1:5" x14ac:dyDescent="0.2">
      <c r="A92">
        <v>12</v>
      </c>
      <c r="B92">
        <v>260814</v>
      </c>
      <c r="C92" t="s">
        <v>49</v>
      </c>
      <c r="D92" t="s">
        <v>20</v>
      </c>
      <c r="E92" t="s">
        <v>135</v>
      </c>
    </row>
    <row r="93" spans="1:5" x14ac:dyDescent="0.2">
      <c r="A93">
        <v>12</v>
      </c>
      <c r="B93">
        <v>260814</v>
      </c>
      <c r="C93" t="s">
        <v>51</v>
      </c>
      <c r="D93" t="s">
        <v>20</v>
      </c>
      <c r="E93" t="s">
        <v>136</v>
      </c>
    </row>
    <row r="94" spans="1:5" x14ac:dyDescent="0.2">
      <c r="A94">
        <v>12</v>
      </c>
      <c r="B94">
        <v>260814</v>
      </c>
      <c r="C94" t="s">
        <v>53</v>
      </c>
      <c r="D94" t="s">
        <v>20</v>
      </c>
      <c r="E94" t="s">
        <v>137</v>
      </c>
    </row>
    <row r="95" spans="1:5" x14ac:dyDescent="0.2">
      <c r="A95">
        <v>12</v>
      </c>
      <c r="B95">
        <v>260814</v>
      </c>
      <c r="C95" t="s">
        <v>75</v>
      </c>
      <c r="D95" t="s">
        <v>20</v>
      </c>
      <c r="E95" t="s">
        <v>138</v>
      </c>
    </row>
    <row r="96" spans="1:5" x14ac:dyDescent="0.2">
      <c r="A96">
        <v>12</v>
      </c>
      <c r="B96">
        <v>260814</v>
      </c>
      <c r="C96" t="s">
        <v>36</v>
      </c>
      <c r="D96" t="s">
        <v>20</v>
      </c>
      <c r="E96" t="s">
        <v>139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Morales, Diego Eraldo</cp:lastModifiedBy>
  <dcterms:created xsi:type="dcterms:W3CDTF">2026-09-09T12:02:06Z</dcterms:created>
  <dcterms:modified xsi:type="dcterms:W3CDTF">2026-09-09T12:16:40Z</dcterms:modified>
</cp:coreProperties>
</file>